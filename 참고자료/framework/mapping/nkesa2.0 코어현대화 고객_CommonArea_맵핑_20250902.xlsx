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20.업무개발_팀별\2010.기반성_기술공통\12.고객(KAA)\03.개발\"/>
    </mc:Choice>
  </mc:AlternateContent>
  <xr:revisionPtr revIDLastSave="0" documentId="13_ncr:1_{9CE64F89-8522-45CA-B35C-DB6581294DD8}" xr6:coauthVersionLast="47" xr6:coauthVersionMax="47" xr10:uidLastSave="{00000000-0000-0000-0000-000000000000}"/>
  <bookViews>
    <workbookView xWindow="28740" yWindow="-60" windowWidth="28920" windowHeight="15720" xr2:uid="{00000000-000D-0000-FFFF-FFFF00000000}"/>
  </bookViews>
  <sheets>
    <sheet name="AACOMM" sheetId="4" r:id="rId1"/>
    <sheet name="미제공항목" sheetId="5" r:id="rId2"/>
    <sheet name="MF-AACOM" sheetId="6" r:id="rId3"/>
    <sheet name="고객정보" sheetId="2" state="hidden" r:id="rId4"/>
  </sheets>
  <definedNames>
    <definedName name="_xlnm._FilterDatabase" localSheetId="2" hidden="1">'MF-AACOM'!$A$1:$I$58</definedName>
    <definedName name="_xlnm._FilterDatabase" localSheetId="3" hidden="1">고객정보!$A$1:$F$1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tc={00DE004E-000D-4794-A5EB-0032003F0028}</author>
    <author>tc={006500CA-00C2-4EE2-BA3F-00B5007800ED}</author>
    <author>tc={002F0021-0058-4BBF-8747-00A5000D0003}</author>
    <author>tc={008200BA-000F-4C95-BD7E-00CB00E900F0}</author>
    <author>tc={003400CF-0095-4E31-8F8D-00CB006F0087}</author>
    <author>tc={00F50091-0058-4FCC-BE82-0037007400A2}</author>
    <author>tc={00C00009-0031-4DD0-B0D5-00E300C30097}</author>
    <author>tc={006B0032-002B-4FE4-9ABD-007100D5001B}</author>
    <author>tc={003400FF-00A4-4392-BC09-00D500FD009A}</author>
    <author>tc={002600DA-0027-408F-8A9D-009600360019}</author>
  </authors>
  <commentList>
    <comment ref="I4" authorId="0" shapeId="0" xr:uid="{00000000-0006-0000-0200-000001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709       *@   </t>
        </r>
        <r>
          <rPr>
            <sz val="9"/>
            <rFont val="돋움"/>
            <family val="3"/>
            <charset val="129"/>
          </rPr>
          <t>개인사업자의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고객고유번호</t>
        </r>
        <r>
          <rPr>
            <sz val="9"/>
            <rFont val="Tahoma"/>
            <family val="2"/>
          </rPr>
          <t xml:space="preserve">   -&gt; </t>
        </r>
        <r>
          <rPr>
            <sz val="9"/>
            <rFont val="돋움"/>
            <family val="3"/>
            <charset val="129"/>
          </rPr>
          <t xml:space="preserve">사업자번호
</t>
        </r>
        <r>
          <rPr>
            <sz val="9"/>
            <rFont val="Tahoma"/>
            <family val="2"/>
          </rPr>
          <t xml:space="preserve">710            #USRLOG "JJS XDAAE174-O-CUST-PZ-CLSFI-DSTCD == "
711                         XDAAE174-O-CUST-PZ-CLSFI-DSTCD
712            IF  XDAAE174-O-CUST-PZ-CLSFI-DSTCD  =  CO-C2
713       *-- </t>
        </r>
        <r>
          <rPr>
            <sz val="9"/>
            <rFont val="돋움"/>
            <family val="3"/>
            <charset val="129"/>
          </rPr>
          <t xml:space="preserve">고객고유번호
</t>
        </r>
        <r>
          <rPr>
            <sz val="9"/>
            <rFont val="Tahoma"/>
            <family val="2"/>
          </rPr>
          <t xml:space="preserve">714                MOVE  XDAAE174-O-RPSNT-PPSN-CUNIQNO
715                                        TO AACOM-CUNIQNO
716       *-- </t>
        </r>
        <r>
          <rPr>
            <sz val="9"/>
            <rFont val="돋움"/>
            <family val="3"/>
            <charset val="129"/>
          </rPr>
          <t xml:space="preserve">고객고유번호구분코드
</t>
        </r>
        <r>
          <rPr>
            <sz val="9"/>
            <rFont val="Tahoma"/>
            <family val="2"/>
          </rPr>
          <t xml:space="preserve">717                MOVE  XDAAE174-O-RPSNT-PC-DSTCD
718                                        TO AACOM-CUNIQNO-DSTCD
719       *-- </t>
        </r>
        <r>
          <rPr>
            <sz val="9"/>
            <rFont val="돋움"/>
            <family val="3"/>
            <charset val="129"/>
          </rPr>
          <t xml:space="preserve">사업자번호
</t>
        </r>
        <r>
          <rPr>
            <sz val="9"/>
            <rFont val="Tahoma"/>
            <family val="2"/>
          </rPr>
          <t xml:space="preserve">720                IF  XDAAE174-O-DTALS-CPC-DSTCD  =  CO-C14  AND
721                    XDAAE174-O-TRANR-DSTCD      =  CO-C02
722       *@ </t>
        </r>
        <r>
          <rPr>
            <sz val="9"/>
            <rFont val="돋움"/>
            <family val="3"/>
            <charset val="129"/>
          </rPr>
          <t>세부고객의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거래자구분이</t>
        </r>
        <r>
          <rPr>
            <sz val="9"/>
            <rFont val="Tahoma"/>
            <family val="2"/>
          </rPr>
          <t xml:space="preserve"> '02'(</t>
        </r>
        <r>
          <rPr>
            <sz val="9"/>
            <rFont val="돋움"/>
            <family val="3"/>
            <charset val="129"/>
          </rPr>
          <t>개인기업</t>
        </r>
        <r>
          <rPr>
            <sz val="9"/>
            <rFont val="Tahoma"/>
            <family val="2"/>
          </rPr>
          <t xml:space="preserve">) </t>
        </r>
        <r>
          <rPr>
            <sz val="9"/>
            <rFont val="돋움"/>
            <family val="3"/>
            <charset val="129"/>
          </rPr>
          <t xml:space="preserve">이면서
</t>
        </r>
        <r>
          <rPr>
            <sz val="9"/>
            <rFont val="Tahoma"/>
            <family val="2"/>
          </rPr>
          <t xml:space="preserve">723       *@ </t>
        </r>
        <r>
          <rPr>
            <sz val="9"/>
            <rFont val="돋움"/>
            <family val="3"/>
            <charset val="129"/>
          </rPr>
          <t>세부고객유형이</t>
        </r>
        <r>
          <rPr>
            <sz val="9"/>
            <rFont val="Tahoma"/>
            <family val="2"/>
          </rPr>
          <t xml:space="preserve"> '14'(</t>
        </r>
        <r>
          <rPr>
            <sz val="9"/>
            <rFont val="돋움"/>
            <family val="3"/>
            <charset val="129"/>
          </rPr>
          <t>개인세부고객</t>
        </r>
        <r>
          <rPr>
            <sz val="9"/>
            <rFont val="Tahoma"/>
            <family val="2"/>
          </rPr>
          <t>)</t>
        </r>
        <r>
          <rPr>
            <sz val="9"/>
            <rFont val="돋움"/>
            <family val="3"/>
            <charset val="129"/>
          </rPr>
          <t>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것
</t>
        </r>
        <r>
          <rPr>
            <sz val="9"/>
            <rFont val="Tahoma"/>
            <family val="2"/>
          </rPr>
          <t xml:space="preserve">724                    MOVE  SPACE
725                                        TO AACOM-BZNO
726                ELSE
727       *@ </t>
        </r>
        <r>
          <rPr>
            <sz val="9"/>
            <rFont val="돋움"/>
            <family val="3"/>
            <charset val="129"/>
          </rPr>
          <t>주민번호</t>
        </r>
        <r>
          <rPr>
            <sz val="9"/>
            <rFont val="Tahoma"/>
            <family val="2"/>
          </rPr>
          <t xml:space="preserve"> + </t>
        </r>
        <r>
          <rPr>
            <sz val="9"/>
            <rFont val="돋움"/>
            <family val="3"/>
            <charset val="129"/>
          </rPr>
          <t>고객명</t>
        </r>
        <r>
          <rPr>
            <sz val="9"/>
            <rFont val="Tahoma"/>
            <family val="2"/>
          </rPr>
          <t>(</t>
        </r>
        <r>
          <rPr>
            <sz val="9"/>
            <rFont val="돋움"/>
            <family val="3"/>
            <charset val="129"/>
          </rPr>
          <t>업체명</t>
        </r>
        <r>
          <rPr>
            <sz val="9"/>
            <rFont val="Tahoma"/>
            <family val="2"/>
          </rPr>
          <t>)</t>
        </r>
        <r>
          <rPr>
            <sz val="9"/>
            <rFont val="돋움"/>
            <family val="3"/>
            <charset val="129"/>
          </rPr>
          <t>으로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조회한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경우
</t>
        </r>
        <r>
          <rPr>
            <sz val="9"/>
            <rFont val="Tahoma"/>
            <family val="2"/>
          </rPr>
          <t xml:space="preserve">728       *@ </t>
        </r>
        <r>
          <rPr>
            <sz val="9"/>
            <rFont val="돋움"/>
            <family val="3"/>
            <charset val="129"/>
          </rPr>
          <t>개인사업자인데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고객고유번호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자리에는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주민번호가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옴
</t>
        </r>
        <r>
          <rPr>
            <sz val="9"/>
            <rFont val="Tahoma"/>
            <family val="2"/>
          </rPr>
          <t xml:space="preserve">729       *@ </t>
        </r>
        <r>
          <rPr>
            <sz val="9"/>
            <rFont val="돋움"/>
            <family val="3"/>
            <charset val="129"/>
          </rPr>
          <t>이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경우는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개인사업자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테이블을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재조회하여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사업자번호
</t>
        </r>
        <r>
          <rPr>
            <sz val="9"/>
            <rFont val="Tahoma"/>
            <family val="2"/>
          </rPr>
          <t xml:space="preserve">730       *@ </t>
        </r>
        <r>
          <rPr>
            <sz val="9"/>
            <rFont val="돋움"/>
            <family val="3"/>
            <charset val="129"/>
          </rPr>
          <t>를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조립함
</t>
        </r>
        <r>
          <rPr>
            <sz val="9"/>
            <rFont val="Tahoma"/>
            <family val="2"/>
          </rPr>
          <t xml:space="preserve">731                    IF  XDAAE174-O-CUNIQNO-DSTCD  NOT   =  CO-C02  AND
732                        XDAAE174-O-DTALS-CPC-DSTCD      =  CO-C12
733 
734       *@ </t>
        </r>
        <r>
          <rPr>
            <sz val="9"/>
            <rFont val="돋움"/>
            <family val="3"/>
            <charset val="129"/>
          </rPr>
          <t>개인사업자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테이블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조회
</t>
        </r>
        <r>
          <rPr>
            <sz val="9"/>
            <rFont val="Tahoma"/>
            <family val="2"/>
          </rPr>
          <t xml:space="preserve">735                        PERFORM S3120-DAAQ121-CALL-RTN
736                           THRU S3120-DAAQ121-CALL-EXT
737                    ELSE
738                        MOVE  XDAAE174-O-CUNIQNO
739                                        TO AACOM-BZNO
740                    END-IF
741                END-IF
742            ELSE
743       *-- </t>
        </r>
        <r>
          <rPr>
            <sz val="9"/>
            <rFont val="돋움"/>
            <family val="3"/>
            <charset val="129"/>
          </rPr>
          <t xml:space="preserve">고객고유번호
</t>
        </r>
        <r>
          <rPr>
            <sz val="9"/>
            <rFont val="Tahoma"/>
            <family val="2"/>
          </rPr>
          <t xml:space="preserve">744                MOVE  XDAAE174-O-CUNIQNO
745                                        TO AACOM-CUNIQNO
746       *-- </t>
        </r>
        <r>
          <rPr>
            <sz val="9"/>
            <rFont val="돋움"/>
            <family val="3"/>
            <charset val="129"/>
          </rPr>
          <t xml:space="preserve">고객고유번호구분코드
</t>
        </r>
        <r>
          <rPr>
            <sz val="9"/>
            <rFont val="Tahoma"/>
            <family val="2"/>
          </rPr>
          <t xml:space="preserve">747                MOVE  XDAAE174-O-CUNIQNO-DSTCD
748                                        TO AACOM-CUNIQNO-DSTCD
749            END-IF
</t>
        </r>
      </text>
    </comment>
    <comment ref="I20" authorId="1" shapeId="0" xr:uid="{00000000-0006-0000-0200-000002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830       *@  </t>
        </r>
        <r>
          <rPr>
            <sz val="9"/>
            <rFont val="돋움"/>
            <family val="3"/>
            <charset val="129"/>
          </rPr>
          <t>세부고객유형분류구분</t>
        </r>
        <r>
          <rPr>
            <sz val="9"/>
            <rFont val="Tahoma"/>
            <family val="2"/>
          </rPr>
          <t xml:space="preserve"> = '12'(</t>
        </r>
        <r>
          <rPr>
            <sz val="9"/>
            <rFont val="돋움"/>
            <family val="3"/>
            <charset val="129"/>
          </rPr>
          <t>개인사업자</t>
        </r>
        <r>
          <rPr>
            <sz val="9"/>
            <rFont val="Tahoma"/>
            <family val="2"/>
          </rPr>
          <t>)
831       *                            '13'(</t>
        </r>
        <r>
          <rPr>
            <sz val="9"/>
            <rFont val="돋움"/>
            <family val="3"/>
            <charset val="129"/>
          </rPr>
          <t>카드개인부서사업자</t>
        </r>
        <r>
          <rPr>
            <sz val="9"/>
            <rFont val="Tahoma"/>
            <family val="2"/>
          </rPr>
          <t>)
832       *                            '14'(</t>
        </r>
        <r>
          <rPr>
            <sz val="9"/>
            <rFont val="돋움"/>
            <family val="3"/>
            <charset val="129"/>
          </rPr>
          <t>개인세부고객</t>
        </r>
        <r>
          <rPr>
            <sz val="9"/>
            <rFont val="Tahoma"/>
            <family val="2"/>
          </rPr>
          <t>)
833       *                            '23'(</t>
        </r>
        <r>
          <rPr>
            <sz val="9"/>
            <rFont val="돋움"/>
            <family val="3"/>
            <charset val="129"/>
          </rPr>
          <t>카드법인부서사업자</t>
        </r>
        <r>
          <rPr>
            <sz val="9"/>
            <rFont val="Tahoma"/>
            <family val="2"/>
          </rPr>
          <t>)
834       *                            '24'(</t>
        </r>
        <r>
          <rPr>
            <sz val="9"/>
            <rFont val="돋움"/>
            <family val="3"/>
            <charset val="129"/>
          </rPr>
          <t>법인사업자세부고객</t>
        </r>
        <r>
          <rPr>
            <sz val="9"/>
            <rFont val="Tahoma"/>
            <family val="2"/>
          </rPr>
          <t>)
835       *                            '44'(</t>
        </r>
        <r>
          <rPr>
            <sz val="9"/>
            <rFont val="돋움"/>
            <family val="3"/>
            <charset val="129"/>
          </rPr>
          <t>임의단체세부고객</t>
        </r>
        <r>
          <rPr>
            <sz val="9"/>
            <rFont val="Tahoma"/>
            <family val="2"/>
          </rPr>
          <t xml:space="preserve">)
836       * </t>
        </r>
        <r>
          <rPr>
            <sz val="9"/>
            <rFont val="돋움"/>
            <family val="3"/>
            <charset val="129"/>
          </rPr>
          <t>일경우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세부고객의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등록년월일</t>
        </r>
        <r>
          <rPr>
            <sz val="9"/>
            <rFont val="Tahoma"/>
            <family val="2"/>
          </rPr>
          <t xml:space="preserve">, </t>
        </r>
        <r>
          <rPr>
            <sz val="9"/>
            <rFont val="돋움"/>
            <family val="3"/>
            <charset val="129"/>
          </rPr>
          <t xml:space="preserve">등록부점코드
</t>
        </r>
        <r>
          <rPr>
            <sz val="9"/>
            <rFont val="Tahoma"/>
            <family val="2"/>
          </rPr>
          <t xml:space="preserve">837       * </t>
        </r>
        <r>
          <rPr>
            <sz val="9"/>
            <rFont val="돋움"/>
            <family val="3"/>
            <charset val="129"/>
          </rPr>
          <t>대표고객일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경우
</t>
        </r>
        <r>
          <rPr>
            <sz val="9"/>
            <rFont val="Tahoma"/>
            <family val="2"/>
          </rPr>
          <t xml:space="preserve">838       * </t>
        </r>
        <r>
          <rPr>
            <sz val="9"/>
            <rFont val="돋움"/>
            <family val="3"/>
            <charset val="129"/>
          </rPr>
          <t>고객기본의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최초등록년월일</t>
        </r>
        <r>
          <rPr>
            <sz val="9"/>
            <rFont val="Tahoma"/>
            <family val="2"/>
          </rPr>
          <t>,</t>
        </r>
        <r>
          <rPr>
            <sz val="9"/>
            <rFont val="돋움"/>
            <family val="3"/>
            <charset val="129"/>
          </rPr>
          <t>카드최초등록년월일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중
</t>
        </r>
        <r>
          <rPr>
            <sz val="9"/>
            <rFont val="Tahoma"/>
            <family val="2"/>
          </rPr>
          <t xml:space="preserve">839       * </t>
        </r>
        <r>
          <rPr>
            <sz val="9"/>
            <rFont val="돋움"/>
            <family val="3"/>
            <charset val="129"/>
          </rPr>
          <t>작은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값에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해당하는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년월일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및
</t>
        </r>
        <r>
          <rPr>
            <sz val="9"/>
            <rFont val="Tahoma"/>
            <family val="2"/>
          </rPr>
          <t xml:space="preserve">840       * </t>
        </r>
        <r>
          <rPr>
            <sz val="9"/>
            <rFont val="돋움"/>
            <family val="3"/>
            <charset val="129"/>
          </rPr>
          <t>년월일에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따른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부점코드를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셋팅함
</t>
        </r>
        <r>
          <rPr>
            <sz val="9"/>
            <rFont val="Tahoma"/>
            <family val="2"/>
          </rPr>
          <t xml:space="preserve">841            IF  XDAAE174-O-DTALS-CPC-DSTCD  =  CO-C12  OR
842                                               CO-C13  OR
843                                               CO-C14  OR
844                                               CO-C23  OR
845                                               CO-C24  OR
846                                               CO-C44
847       *-- </t>
        </r>
        <r>
          <rPr>
            <sz val="9"/>
            <rFont val="돋움"/>
            <family val="3"/>
            <charset val="129"/>
          </rPr>
          <t>세부고객등록년월일</t>
        </r>
        <r>
          <rPr>
            <sz val="9"/>
            <rFont val="Tahoma"/>
            <family val="2"/>
          </rPr>
          <t xml:space="preserve">  -&gt;  </t>
        </r>
        <r>
          <rPr>
            <sz val="9"/>
            <rFont val="돋움"/>
            <family val="3"/>
            <charset val="129"/>
          </rPr>
          <t xml:space="preserve">최초등록년월일
</t>
        </r>
        <r>
          <rPr>
            <sz val="9"/>
            <rFont val="Tahoma"/>
            <family val="2"/>
          </rPr>
          <t xml:space="preserve">848                MOVE  XDAAE174-O-DTALS-CUST-REGI-YMD
849                                        TO AACOM-FRST-REGI-YMD
850       *-- </t>
        </r>
        <r>
          <rPr>
            <sz val="9"/>
            <rFont val="돋움"/>
            <family val="3"/>
            <charset val="129"/>
          </rPr>
          <t>세부고객등록부점코드</t>
        </r>
        <r>
          <rPr>
            <sz val="9"/>
            <rFont val="Tahoma"/>
            <family val="2"/>
          </rPr>
          <t xml:space="preserve">  -&gt;  </t>
        </r>
        <r>
          <rPr>
            <sz val="9"/>
            <rFont val="돋움"/>
            <family val="3"/>
            <charset val="129"/>
          </rPr>
          <t xml:space="preserve">최초등록부점코드
</t>
        </r>
        <r>
          <rPr>
            <sz val="9"/>
            <rFont val="Tahoma"/>
            <family val="2"/>
          </rPr>
          <t xml:space="preserve">851                MOVE  XDAAE174-O-DTALS-C-REGI-BRNCD
852                                        TO AACOM-FRST-REGI-BRNCD
853            END-IF
854       *    ELSE
855            IF  XDAAE174-O-DTALS-CPC-DSTCD  NOT =  CO-C12  AND
856                XDAAE174-O-DTALS-CPC-DSTCD  NOT =  CO-C13  AND
857                XDAAE174-O-DTALS-CPC-DSTCD  NOT =  CO-C14  AND
858                XDAAE174-O-DTALS-CPC-DSTCD  NOT =  CO-C23  AND
859                XDAAE174-O-DTALS-CPC-DSTCD  NOT =  CO-C24  AND
860                XDAAE174-O-DTALS-CPC-DSTCD  NOT =  CO-C44
861       *-- </t>
        </r>
        <r>
          <rPr>
            <sz val="9"/>
            <rFont val="돋움"/>
            <family val="3"/>
            <charset val="129"/>
          </rPr>
          <t xml:space="preserve">최초등록년월일
</t>
        </r>
        <r>
          <rPr>
            <sz val="9"/>
            <rFont val="Tahoma"/>
            <family val="2"/>
          </rPr>
          <t xml:space="preserve">862                EVALUATE  TRUE
863                    WHEN  XDAAE174-O-CARD-FRST-REGI-YMD  =  SPACE  OR
864                                                      CO-NULL-YMD
865 
866                    IF  XDAAE174-O-FRST-REGI-YMD  = SPACE  OR
867                                                    CO-NULL-YMD
868                        CONTINUE
869                    ELSE
870                        MOVE  XDAAE174-O-FRST-REGI-YMD
871                                        TO AACOM-FRST-REGI-YMD
872                    END-IF
873 
874                    WHEN  XDAAE174-O-FRST-REGI-YMD  =  SPACE  OR
875                                                     CO-NULL-YMD
876                        MOVE  XDAAE174-O-CARD-FRST-REGI-YMD
877                                        TO AACOM-FRST-REGI-YMD
878                    WHEN OTHER
879                        IF  XDAAE174-O-CARD-FRST-REGI-YMD &gt;
880                            XDAAE174-O-FRST-REGI-YMD
881                            MOVE  XDAAE174-O-FRST-REGI-YMD
882                                        TO AACOM-FRST-REGI-YMD
883                        ELSE
884                            MOVE  XDAAE174-O-CARD-FRST-REGI-YMD
885                                        TO AACOM-FRST-REGI-YMD
886                        END-IF
887                END-EVALUATE
</t>
        </r>
      </text>
    </comment>
    <comment ref="I21" authorId="2" shapeId="0" xr:uid="{00000000-0006-0000-0200-000003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889       *-- </t>
        </r>
        <r>
          <rPr>
            <sz val="9"/>
            <rFont val="돋움"/>
            <family val="3"/>
            <charset val="129"/>
          </rPr>
          <t xml:space="preserve">최초등록부점코드
</t>
        </r>
        <r>
          <rPr>
            <sz val="9"/>
            <rFont val="Tahoma"/>
            <family val="2"/>
          </rPr>
          <t xml:space="preserve">890                IF  XDAAE174-O-CARD-F-REGI-BRNCD  =  SPACE  OR
891                                                     CO-NULL-BRNCD
892                    IF  XDAAE174-O-FRST-REGI-BRNCD  =  SPACE  OR
893                                                       CO-NULL-BRNCD
894                        CONTINUE
895                    ELSE
896                        MOVE  XDAAE174-O-FRST-REGI-BRNCD
897                                        TO AACOM-FRST-REGI-BRNCD
898                    END-IF
899 
900                END-IF
901       *        ELSE
902                IF  XDAAE174-O-CARD-F-REGI-BRNCD  NOT =  SPACE  AND
903                    XDAAE174-O-CARD-F-REGI-BRNCD  NOT =  CO-NULL-BRNCD
904                    IF  XDAAE174-O-FRST-REGI-BRNCD  =  SPACE  OR
905                                                       CO-NULL-BRNCD
906                        MOVE  XDAAE174-O-CARD-F-REGI-BRNCD
907                                        TO AACOM-FRST-REGI-BRNCD
908                    ELSE
909                        IF  XDAAE174-O-CARD-FRST-REGI-YMD &gt;
910                            XDAAE174-O-FRST-REGI-YMD
911                            MOVE  XDAAE174-O-FRST-REGI-BRNCD
912                                        TO AACOM-FRST-REGI-BRNCD
913                        ELSE
914                            MOVE  XDAAE174-O-CARD-F-REGI-BRNCD
915                                        TO AACOM-FRST-REGI-BRNCD
916                        END-IF
917                    END-IF
918                END-IF
919 
920            END-IF
</t>
        </r>
      </text>
    </comment>
    <comment ref="I39" authorId="3" shapeId="0" xr:uid="{00000000-0006-0000-0200-000004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476       *@2.2 </t>
        </r>
        <r>
          <rPr>
            <sz val="9"/>
            <rFont val="돋움"/>
            <family val="3"/>
            <charset val="129"/>
          </rPr>
          <t xml:space="preserve">개인사업자공동대표여부조회
</t>
        </r>
        <r>
          <rPr>
            <sz val="9"/>
            <rFont val="Tahoma"/>
            <family val="2"/>
          </rPr>
          <t xml:space="preserve">477            IF  AACOM-CUST-PZ-CLSFI-DSTCD  =  CO-C2  AND
478                WK-CASE  =  CO-C1
479       *@ </t>
        </r>
        <r>
          <rPr>
            <sz val="9"/>
            <rFont val="돋움"/>
            <family val="3"/>
            <charset val="129"/>
          </rPr>
          <t xml:space="preserve">개인사업자조회
</t>
        </r>
        <r>
          <rPr>
            <sz val="9"/>
            <rFont val="Tahoma"/>
            <family val="2"/>
          </rPr>
          <t xml:space="preserve">480                PERFORM S3400-DAAQ122-CALL-RTN
481                   THRU S3400-DAAQ122-CALL-EXT
482            END-IF
</t>
        </r>
        <r>
          <rPr>
            <sz val="9"/>
            <rFont val="돋움"/>
            <family val="3"/>
            <charset val="129"/>
          </rPr>
          <t>중략</t>
        </r>
        <r>
          <rPr>
            <sz val="9"/>
            <rFont val="Tahoma"/>
            <family val="2"/>
          </rPr>
          <t xml:space="preserve">....
706       *@ </t>
        </r>
        <r>
          <rPr>
            <sz val="9"/>
            <rFont val="돋움"/>
            <family val="3"/>
            <charset val="129"/>
          </rPr>
          <t>개인사업자일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경우
</t>
        </r>
        <r>
          <rPr>
            <sz val="9"/>
            <rFont val="Tahoma"/>
            <family val="2"/>
          </rPr>
          <t xml:space="preserve">707       *@   </t>
        </r>
        <r>
          <rPr>
            <sz val="9"/>
            <rFont val="돋움"/>
            <family val="3"/>
            <charset val="129"/>
          </rPr>
          <t>대표개인의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고객고유번호</t>
        </r>
        <r>
          <rPr>
            <sz val="9"/>
            <rFont val="Tahoma"/>
            <family val="2"/>
          </rPr>
          <t xml:space="preserve">     -&gt; </t>
        </r>
        <r>
          <rPr>
            <sz val="9"/>
            <rFont val="돋움"/>
            <family val="3"/>
            <charset val="129"/>
          </rPr>
          <t xml:space="preserve">고객고유번호
</t>
        </r>
        <r>
          <rPr>
            <sz val="9"/>
            <rFont val="Tahoma"/>
            <family val="2"/>
          </rPr>
          <t xml:space="preserve">708       *@   </t>
        </r>
        <r>
          <rPr>
            <sz val="9"/>
            <rFont val="돋움"/>
            <family val="3"/>
            <charset val="129"/>
          </rPr>
          <t>대표개인의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고객고유번호구분</t>
        </r>
        <r>
          <rPr>
            <sz val="9"/>
            <rFont val="Tahoma"/>
            <family val="2"/>
          </rPr>
          <t xml:space="preserve"> -&gt; </t>
        </r>
        <r>
          <rPr>
            <sz val="9"/>
            <rFont val="돋움"/>
            <family val="3"/>
            <charset val="129"/>
          </rPr>
          <t xml:space="preserve">고객고유번호구분
</t>
        </r>
        <r>
          <rPr>
            <sz val="9"/>
            <rFont val="Tahoma"/>
            <family val="2"/>
          </rPr>
          <t xml:space="preserve">709       *@   </t>
        </r>
        <r>
          <rPr>
            <sz val="9"/>
            <rFont val="돋움"/>
            <family val="3"/>
            <charset val="129"/>
          </rPr>
          <t>개인사업자의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고객고유번호</t>
        </r>
        <r>
          <rPr>
            <sz val="9"/>
            <rFont val="Tahoma"/>
            <family val="2"/>
          </rPr>
          <t xml:space="preserve">   -&gt; </t>
        </r>
        <r>
          <rPr>
            <sz val="9"/>
            <rFont val="돋움"/>
            <family val="3"/>
            <charset val="129"/>
          </rPr>
          <t xml:space="preserve">사업자번호
</t>
        </r>
        <r>
          <rPr>
            <sz val="9"/>
            <rFont val="Tahoma"/>
            <family val="2"/>
          </rPr>
          <t xml:space="preserve">710            #USRLOG "JJS XDAAE174-O-CUST-PZ-CLSFI-DSTCD == "
711                         XDAAE174-O-CUST-PZ-CLSFI-DSTCD
712            IF  XDAAE174-O-CUST-PZ-CLSFI-DSTCD  =  CO-C2
713       *-- </t>
        </r>
        <r>
          <rPr>
            <sz val="9"/>
            <rFont val="돋움"/>
            <family val="3"/>
            <charset val="129"/>
          </rPr>
          <t xml:space="preserve">고객고유번호
</t>
        </r>
        <r>
          <rPr>
            <sz val="9"/>
            <rFont val="Tahoma"/>
            <family val="2"/>
          </rPr>
          <t xml:space="preserve">714                MOVE  XDAAE174-O-RPSNT-PPSN-CUNIQNO
715                                        TO AACOM-CUNIQNO
716       *-- </t>
        </r>
        <r>
          <rPr>
            <sz val="9"/>
            <rFont val="돋움"/>
            <family val="3"/>
            <charset val="129"/>
          </rPr>
          <t xml:space="preserve">고객고유번호구분코드
</t>
        </r>
        <r>
          <rPr>
            <sz val="9"/>
            <rFont val="Tahoma"/>
            <family val="2"/>
          </rPr>
          <t xml:space="preserve">717                MOVE  XDAAE174-O-RPSNT-PC-DSTCD
718                                        TO AACOM-CUNIQNO-DSTCD
719       *-- </t>
        </r>
        <r>
          <rPr>
            <sz val="9"/>
            <rFont val="돋움"/>
            <family val="3"/>
            <charset val="129"/>
          </rPr>
          <t xml:space="preserve">사업자번호
</t>
        </r>
        <r>
          <rPr>
            <sz val="9"/>
            <rFont val="Tahoma"/>
            <family val="2"/>
          </rPr>
          <t xml:space="preserve">720                IF  XDAAE174-O-DTALS-CPC-DSTCD  =  CO-C14  AND
721                    XDAAE174-O-TRANR-DSTCD      =  CO-C02
722       *@ </t>
        </r>
        <r>
          <rPr>
            <sz val="9"/>
            <rFont val="돋움"/>
            <family val="3"/>
            <charset val="129"/>
          </rPr>
          <t>세부고객의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거래자구분이</t>
        </r>
        <r>
          <rPr>
            <sz val="9"/>
            <rFont val="Tahoma"/>
            <family val="2"/>
          </rPr>
          <t xml:space="preserve"> '02'(</t>
        </r>
        <r>
          <rPr>
            <sz val="9"/>
            <rFont val="돋움"/>
            <family val="3"/>
            <charset val="129"/>
          </rPr>
          <t>개인기업</t>
        </r>
        <r>
          <rPr>
            <sz val="9"/>
            <rFont val="Tahoma"/>
            <family val="2"/>
          </rPr>
          <t xml:space="preserve">) </t>
        </r>
        <r>
          <rPr>
            <sz val="9"/>
            <rFont val="돋움"/>
            <family val="3"/>
            <charset val="129"/>
          </rPr>
          <t xml:space="preserve">이면서
</t>
        </r>
        <r>
          <rPr>
            <sz val="9"/>
            <rFont val="Tahoma"/>
            <family val="2"/>
          </rPr>
          <t xml:space="preserve">723       *@ </t>
        </r>
        <r>
          <rPr>
            <sz val="9"/>
            <rFont val="돋움"/>
            <family val="3"/>
            <charset val="129"/>
          </rPr>
          <t>세부고객유형이</t>
        </r>
        <r>
          <rPr>
            <sz val="9"/>
            <rFont val="Tahoma"/>
            <family val="2"/>
          </rPr>
          <t xml:space="preserve"> '14'(</t>
        </r>
        <r>
          <rPr>
            <sz val="9"/>
            <rFont val="돋움"/>
            <family val="3"/>
            <charset val="129"/>
          </rPr>
          <t>개인세부고객</t>
        </r>
        <r>
          <rPr>
            <sz val="9"/>
            <rFont val="Tahoma"/>
            <family val="2"/>
          </rPr>
          <t>)</t>
        </r>
        <r>
          <rPr>
            <sz val="9"/>
            <rFont val="돋움"/>
            <family val="3"/>
            <charset val="129"/>
          </rPr>
          <t>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것
</t>
        </r>
        <r>
          <rPr>
            <sz val="9"/>
            <rFont val="Tahoma"/>
            <family val="2"/>
          </rPr>
          <t xml:space="preserve">724                    MOVE  SPACE
725                                        TO AACOM-BZNO
726                ELSE
727       *@ </t>
        </r>
        <r>
          <rPr>
            <sz val="9"/>
            <rFont val="돋움"/>
            <family val="3"/>
            <charset val="129"/>
          </rPr>
          <t>주민번호</t>
        </r>
        <r>
          <rPr>
            <sz val="9"/>
            <rFont val="Tahoma"/>
            <family val="2"/>
          </rPr>
          <t xml:space="preserve"> + </t>
        </r>
        <r>
          <rPr>
            <sz val="9"/>
            <rFont val="돋움"/>
            <family val="3"/>
            <charset val="129"/>
          </rPr>
          <t>고객명</t>
        </r>
        <r>
          <rPr>
            <sz val="9"/>
            <rFont val="Tahoma"/>
            <family val="2"/>
          </rPr>
          <t>(</t>
        </r>
        <r>
          <rPr>
            <sz val="9"/>
            <rFont val="돋움"/>
            <family val="3"/>
            <charset val="129"/>
          </rPr>
          <t>업체명</t>
        </r>
        <r>
          <rPr>
            <sz val="9"/>
            <rFont val="Tahoma"/>
            <family val="2"/>
          </rPr>
          <t>)</t>
        </r>
        <r>
          <rPr>
            <sz val="9"/>
            <rFont val="돋움"/>
            <family val="3"/>
            <charset val="129"/>
          </rPr>
          <t>으로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조회한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경우
</t>
        </r>
        <r>
          <rPr>
            <sz val="9"/>
            <rFont val="Tahoma"/>
            <family val="2"/>
          </rPr>
          <t xml:space="preserve">728       *@ </t>
        </r>
        <r>
          <rPr>
            <sz val="9"/>
            <rFont val="돋움"/>
            <family val="3"/>
            <charset val="129"/>
          </rPr>
          <t>개인사업자인데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고객고유번호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자리에는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주민번호가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옴
</t>
        </r>
        <r>
          <rPr>
            <sz val="9"/>
            <rFont val="Tahoma"/>
            <family val="2"/>
          </rPr>
          <t xml:space="preserve">729       *@ </t>
        </r>
        <r>
          <rPr>
            <sz val="9"/>
            <rFont val="돋움"/>
            <family val="3"/>
            <charset val="129"/>
          </rPr>
          <t>이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경우는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개인사업자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테이블을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재조회하여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사업자번호
</t>
        </r>
        <r>
          <rPr>
            <sz val="9"/>
            <rFont val="Tahoma"/>
            <family val="2"/>
          </rPr>
          <t xml:space="preserve">730       *@ </t>
        </r>
        <r>
          <rPr>
            <sz val="9"/>
            <rFont val="돋움"/>
            <family val="3"/>
            <charset val="129"/>
          </rPr>
          <t>를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조립함
</t>
        </r>
        <r>
          <rPr>
            <sz val="9"/>
            <rFont val="Tahoma"/>
            <family val="2"/>
          </rPr>
          <t xml:space="preserve">731                    IF  XDAAE174-O-CUNIQNO-DSTCD  NOT   =  CO-C02  AND
732                        XDAAE174-O-DTALS-CPC-DSTCD      =  CO-C12
733 
734       *@ </t>
        </r>
        <r>
          <rPr>
            <sz val="9"/>
            <rFont val="돋움"/>
            <family val="3"/>
            <charset val="129"/>
          </rPr>
          <t>개인사업자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테이블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조회
</t>
        </r>
        <r>
          <rPr>
            <sz val="9"/>
            <rFont val="Tahoma"/>
            <family val="2"/>
          </rPr>
          <t xml:space="preserve">735                        PERFORM S3120-DAAQ121-CALL-RTN
736                           THRU S3120-DAAQ121-CALL-EXT
737                    ELSE
738                        MOVE  XDAAE174-O-CUNIQNO
739                                        TO AACOM-BZNO
740                    END-IF
741                END-IF
742            ELSE
</t>
        </r>
      </text>
    </comment>
    <comment ref="I40" authorId="4" shapeId="0" xr:uid="{00000000-0006-0000-0200-000005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928       *-- </t>
        </r>
        <r>
          <rPr>
            <sz val="9"/>
            <rFont val="돋움"/>
            <family val="3"/>
            <charset val="129"/>
          </rPr>
          <t>알리미표시여부</t>
        </r>
        <r>
          <rPr>
            <sz val="9"/>
            <rFont val="Tahoma"/>
            <family val="2"/>
          </rPr>
          <t>(</t>
        </r>
        <r>
          <rPr>
            <sz val="9"/>
            <rFont val="돋움"/>
            <family val="3"/>
            <charset val="129"/>
          </rPr>
          <t>수동거래가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아닐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경우만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셋팅</t>
        </r>
        <r>
          <rPr>
            <sz val="9"/>
            <rFont val="Tahoma"/>
            <family val="2"/>
          </rPr>
          <t xml:space="preserve">)
929       *-- </t>
        </r>
        <r>
          <rPr>
            <sz val="9"/>
            <rFont val="돋움"/>
            <family val="3"/>
            <charset val="129"/>
          </rPr>
          <t>알리미표시제한</t>
        </r>
        <r>
          <rPr>
            <sz val="9"/>
            <rFont val="Tahoma"/>
            <family val="2"/>
          </rPr>
          <t>(</t>
        </r>
        <r>
          <rPr>
            <sz val="9"/>
            <rFont val="돋움"/>
            <family val="3"/>
            <charset val="129"/>
          </rPr>
          <t>은행단말만　표시</t>
        </r>
        <r>
          <rPr>
            <sz val="9"/>
            <rFont val="Tahoma"/>
            <family val="2"/>
          </rPr>
          <t>)-2011.06.07 (</t>
        </r>
        <r>
          <rPr>
            <sz val="9"/>
            <rFont val="돋움"/>
            <family val="3"/>
            <charset val="129"/>
          </rPr>
          <t>카드분사</t>
        </r>
        <r>
          <rPr>
            <sz val="9"/>
            <rFont val="Tahoma"/>
            <family val="2"/>
          </rPr>
          <t xml:space="preserve">)
930 160603*-- </t>
        </r>
        <r>
          <rPr>
            <sz val="9"/>
            <rFont val="돋움"/>
            <family val="3"/>
            <charset val="129"/>
          </rPr>
          <t>알리미표시제한</t>
        </r>
        <r>
          <rPr>
            <sz val="9"/>
            <rFont val="Tahoma"/>
            <family val="2"/>
          </rPr>
          <t>(</t>
        </r>
        <r>
          <rPr>
            <sz val="9"/>
            <rFont val="돋움"/>
            <family val="3"/>
            <charset val="129"/>
          </rPr>
          <t>요구불대량신규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화면</t>
        </r>
        <r>
          <rPr>
            <sz val="9"/>
            <rFont val="Tahoma"/>
            <family val="2"/>
          </rPr>
          <t xml:space="preserve">)
931            IF  BICOM-CUPLD-TRAN-DSTCD  NOT =  CO-C2   AND
932                BICOM-SCREN-NO  NOT = CO-CL-NEW AND
933                JICOM-BRN-STHL-CO-DSTCD     =  '01'
934                MOVE  XDAAE174-O-ALMI-REPSNT-YN
935                                        TO AACOM-ALMI-REPSNT-YN
936            END-IF
</t>
        </r>
      </text>
    </comment>
    <comment ref="I45" authorId="5" shapeId="0" xr:uid="{00000000-0006-0000-0200-000006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494       *@2.4 </t>
        </r>
        <r>
          <rPr>
            <sz val="9"/>
            <rFont val="돋움"/>
            <family val="3"/>
            <charset val="129"/>
          </rPr>
          <t>국적</t>
        </r>
        <r>
          <rPr>
            <sz val="9"/>
            <rFont val="Tahoma"/>
            <family val="2"/>
          </rPr>
          <t>ISO</t>
        </r>
        <r>
          <rPr>
            <sz val="9"/>
            <rFont val="돋움"/>
            <family val="3"/>
            <charset val="129"/>
          </rPr>
          <t>국가코드</t>
        </r>
        <r>
          <rPr>
            <sz val="9"/>
            <rFont val="Tahoma"/>
            <family val="2"/>
          </rPr>
          <t xml:space="preserve"> -&gt; </t>
        </r>
        <r>
          <rPr>
            <sz val="9"/>
            <rFont val="돋움"/>
            <family val="3"/>
            <charset val="129"/>
          </rPr>
          <t>국적국가코드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변환
</t>
        </r>
        <r>
          <rPr>
            <sz val="9"/>
            <rFont val="Tahoma"/>
            <family val="2"/>
          </rPr>
          <t xml:space="preserve">495            EVALUATE  AACOM-NATLTY-ISO-NATNL-CD
496                WHEN  'KR'
497       *-- </t>
        </r>
        <r>
          <rPr>
            <sz val="9"/>
            <rFont val="돋움"/>
            <family val="3"/>
            <charset val="129"/>
          </rPr>
          <t xml:space="preserve">국적국가코드
</t>
        </r>
        <r>
          <rPr>
            <sz val="9"/>
            <rFont val="Tahoma"/>
            <family val="2"/>
          </rPr>
          <t xml:space="preserve">498                    MOVE  '100'         TO AACOM-NATLTY-NATNL-CD
499                WHEN  SPACE
500                    CONTINUE
501                WHEN  OTHER
502                    PERFORM S3600-CJINA01-CALL-RTN
503                       THRU S3600-CJINA01-CALL-EXT
504            END-EVALUATE
</t>
        </r>
      </text>
    </comment>
    <comment ref="I46" authorId="6" shapeId="0" xr:uid="{00000000-0006-0000-0200-000007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506       *@2.5 </t>
        </r>
        <r>
          <rPr>
            <sz val="9"/>
            <rFont val="돋움"/>
            <family val="3"/>
            <charset val="129"/>
          </rPr>
          <t>거재소재지</t>
        </r>
        <r>
          <rPr>
            <sz val="9"/>
            <rFont val="Tahoma"/>
            <family val="2"/>
          </rPr>
          <t>ISO</t>
        </r>
        <r>
          <rPr>
            <sz val="9"/>
            <rFont val="돋움"/>
            <family val="3"/>
            <charset val="129"/>
          </rPr>
          <t>국가코드</t>
        </r>
        <r>
          <rPr>
            <sz val="9"/>
            <rFont val="Tahoma"/>
            <family val="2"/>
          </rPr>
          <t xml:space="preserve"> -&gt; </t>
        </r>
        <r>
          <rPr>
            <sz val="9"/>
            <rFont val="돋움"/>
            <family val="3"/>
            <charset val="129"/>
          </rPr>
          <t>거재소재지국가코드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변환
</t>
        </r>
        <r>
          <rPr>
            <sz val="9"/>
            <rFont val="Tahoma"/>
            <family val="2"/>
          </rPr>
          <t xml:space="preserve">507            EVALUATE  AACOM-RESI-L-ISO-NATNL-CD
508                WHEN  'KR'
509       *-- </t>
        </r>
        <r>
          <rPr>
            <sz val="9"/>
            <rFont val="돋움"/>
            <family val="3"/>
            <charset val="129"/>
          </rPr>
          <t xml:space="preserve">거주소재지국가코드
</t>
        </r>
        <r>
          <rPr>
            <sz val="9"/>
            <rFont val="Tahoma"/>
            <family val="2"/>
          </rPr>
          <t xml:space="preserve">510                    MOVE  '100'         TO AACOM-RESI-LOC-NATNL-CD
511                WHEN  SPACE
512                    CONTINUE
513                WHEN  OTHER
514                    PERFORM S3610-CJINA01-CALL-RTN
515                       THRU S3610-CJINA01-CALL-EXT
516            END-EVALUATE
</t>
        </r>
      </text>
    </comment>
    <comment ref="I47" authorId="7" shapeId="0" xr:uid="{00000000-0006-0000-0200-000008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518       *@2.6 </t>
        </r>
        <r>
          <rPr>
            <sz val="9"/>
            <rFont val="돋움"/>
            <family val="3"/>
            <charset val="129"/>
          </rPr>
          <t>마케팅활용동의구분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조회
</t>
        </r>
        <r>
          <rPr>
            <sz val="9"/>
            <rFont val="Tahoma"/>
            <family val="2"/>
          </rPr>
          <t xml:space="preserve">519            IF  AACOM-DTALS-CPC-DSTCD  =  CO-C11
520       *@ </t>
        </r>
        <r>
          <rPr>
            <sz val="9"/>
            <rFont val="돋움"/>
            <family val="3"/>
            <charset val="129"/>
          </rPr>
          <t xml:space="preserve">개인조회
</t>
        </r>
        <r>
          <rPr>
            <sz val="9"/>
            <rFont val="Tahoma"/>
            <family val="2"/>
          </rPr>
          <t xml:space="preserve">521                PERFORM S3700-DAAB101-CALL-RTN
522                   THRU S3700-DAAB101-CALL-EXT
523            END-IF
</t>
        </r>
      </text>
    </comment>
    <comment ref="I52" authorId="8" shapeId="0" xr:uid="{00000000-0006-0000-0200-000009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1625       *        </t>
        </r>
        <r>
          <rPr>
            <sz val="9"/>
            <rFont val="돋움"/>
            <family val="3"/>
            <charset val="129"/>
          </rPr>
          <t xml:space="preserve">당일거래가능여부
</t>
        </r>
        <r>
          <rPr>
            <sz val="9"/>
            <rFont val="Tahoma"/>
            <family val="2"/>
          </rPr>
          <t xml:space="preserve">1626                IF  XIAA0112-O-REVOC-START-YMD &lt;= BICOM-TRAN-BASE-YMD
1627                    AND
1628                    XIAA0112-O-REVOC-END-YMD &gt;= BICOM-TRAN-BASE-YMD
1629                    AND
1630                    XIAA0112-O-INQURY-ATHOR-BRNCD = BICOM-BRNCD
1631 
1632                    MOVE  CO-C1
1633                      TO  AACOM-TTDD-TRAN-ABIL-YN
</t>
        </r>
      </text>
    </comment>
    <comment ref="I57" authorId="9" shapeId="0" xr:uid="{00000000-0006-0000-0200-00000A000000}">
      <text>
        <r>
          <rPr>
            <b/>
            <sz val="9"/>
            <rFont val="돋움"/>
            <family val="3"/>
            <charset val="129"/>
          </rPr>
          <t>이호석</t>
        </r>
        <r>
          <rPr>
            <b/>
            <sz val="9"/>
            <rFont val="Tahoma"/>
            <family val="2"/>
          </rPr>
          <t>(S024054):</t>
        </r>
        <r>
          <rPr>
            <sz val="9"/>
            <rFont val="Tahoma"/>
            <family val="2"/>
          </rPr>
          <t xml:space="preserve">
1694       *   </t>
        </r>
        <r>
          <rPr>
            <sz val="9"/>
            <rFont val="돋움"/>
            <family val="3"/>
            <charset val="129"/>
          </rPr>
          <t xml:space="preserve">대체고객식별자
</t>
        </r>
        <r>
          <rPr>
            <sz val="9"/>
            <rFont val="Tahoma"/>
            <family val="2"/>
          </rPr>
          <t>1695            IF  WK-SEARCH-CUST-IDNFR(1:1) = 'Z'
1696                MOVE  WK-SEARCH-CUST-IDNFR
1697                  TO  AACOM-ALTR-NO
1698            ELSE
1725       *@  DC</t>
        </r>
        <r>
          <rPr>
            <sz val="9"/>
            <rFont val="돋움"/>
            <family val="3"/>
            <charset val="129"/>
          </rPr>
          <t>기타매핑고객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일련번호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조회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>프로그램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돋움"/>
            <family val="3"/>
            <charset val="129"/>
          </rPr>
          <t xml:space="preserve">호출
</t>
        </r>
        <r>
          <rPr>
            <sz val="9"/>
            <rFont val="Tahoma"/>
            <family val="2"/>
          </rPr>
          <t xml:space="preserve">1726            #DYCALL  DAAZ101
1727                     YCCOMMON-CA
1728                     XDAAZ101-CA
1729 
1730            IF  XDAAZ101-R-STAT = CO-STAT-OK
1731 
1732                MOVE  XDAAZ101-O-CUST-IDNFR
1733                  TO  AACOM-ALTR-NO
1734 
1735            END-IF
</t>
        </r>
      </text>
    </comment>
  </commentList>
</comments>
</file>

<file path=xl/sharedStrings.xml><?xml version="1.0" encoding="utf-8"?>
<sst xmlns="http://schemas.openxmlformats.org/spreadsheetml/2006/main" count="866" uniqueCount="299">
  <si>
    <t>한글필드명</t>
  </si>
  <si>
    <t>필드명</t>
  </si>
  <si>
    <t>TOBE</t>
  </si>
  <si>
    <t>고객식별자</t>
  </si>
  <si>
    <t>X</t>
  </si>
  <si>
    <t>AACOM-CUST-IDNFR</t>
  </si>
  <si>
    <t>XDAAE174-O-CUST-IDNFR</t>
  </si>
  <si>
    <t>FUCustBaseInfoMgt.getCustBascInfo()</t>
  </si>
  <si>
    <t>기본정보</t>
  </si>
  <si>
    <t>고객관리번호</t>
  </si>
  <si>
    <t>AACOM-CUST-MGT-NO</t>
  </si>
  <si>
    <t>XDAAE174-O-CUST-MGT-NO</t>
  </si>
  <si>
    <t>고객고유번호</t>
  </si>
  <si>
    <t>AACOM-CUNIQNO</t>
  </si>
  <si>
    <t>메모참고 (IF/ELSE)</t>
  </si>
  <si>
    <t>고객고유번호구분코드</t>
  </si>
  <si>
    <t>AACOM-CUNIQNO-DSTCD</t>
  </si>
  <si>
    <t>상동</t>
  </si>
  <si>
    <t>고객명1</t>
  </si>
  <si>
    <t>AACOM-DTALS-CUSTNM1</t>
  </si>
  <si>
    <t>XDAAE174-O-CUSTNM1</t>
  </si>
  <si>
    <t>고객명2</t>
  </si>
  <si>
    <t>AACOM-DTALS-CUSTNM2</t>
  </si>
  <si>
    <t>XDAAE174-O-CUSTNM2</t>
  </si>
  <si>
    <t>고객유형분류구분코드</t>
  </si>
  <si>
    <t>AACOM-CUST-PZ-CLSFI-DSTCD</t>
  </si>
  <si>
    <t>DAAE174 프로그램에서 CO-STAT-DUPM 오류코드 발생시 (중복고객)
해당사업자번호로 1개이상 조회되었을때, (사업자명 또는 대표개인 추가요함)</t>
  </si>
  <si>
    <t>세부고객유형분류구분코드</t>
  </si>
  <si>
    <t>AACOM-DTALS-CPC-DSTCD</t>
  </si>
  <si>
    <t>XDAAE174-O-DTALS-CPC-DSTCD</t>
  </si>
  <si>
    <t>과세구분코드</t>
  </si>
  <si>
    <t>AACOM-TX-DSTCD</t>
  </si>
  <si>
    <t>XDAAE174-O-TX-DSTCD</t>
  </si>
  <si>
    <t>FUBznoInfoMgt.getPpsnCustDtailInfo()
FUBznoInfoMgt.getCoprCustDtailInfo()</t>
  </si>
  <si>
    <t>고객유형분규구분에 따른 상세조회</t>
  </si>
  <si>
    <t>거래자구분코드</t>
  </si>
  <si>
    <t>AACOM-TRANR-DSTCD</t>
  </si>
  <si>
    <t>XDAAE174-O-TRANR-DSTCD</t>
  </si>
  <si>
    <t>국적ISO국가코드</t>
  </si>
  <si>
    <t>AACOM-NATLTY-ISO-NATNL-CD</t>
  </si>
  <si>
    <t>XDAAE174-O-NATLTY-ISO-NATNL-CD</t>
  </si>
  <si>
    <t>거주소재지ISO국가코드</t>
  </si>
  <si>
    <t>AACOM-RESI-L-ISO-NATNL-CD</t>
  </si>
  <si>
    <t>XDAAE174-O-RESI-L-ISO-NATNL-CD</t>
  </si>
  <si>
    <t>비거주자여부</t>
  </si>
  <si>
    <t>AACOM-NORESI-YN</t>
  </si>
  <si>
    <t>XDAAE174-O-NORESI-YN</t>
  </si>
  <si>
    <t>잠재고객여부</t>
  </si>
  <si>
    <t>AACOM-POTEN-CUST-YN</t>
  </si>
  <si>
    <t>XDAAE174-O-POTEN-CUST-YN</t>
  </si>
  <si>
    <t>할인고객구분코드</t>
  </si>
  <si>
    <t>AACOM-DSCNT-CUST-DSTCD</t>
  </si>
  <si>
    <t>XDAAE174-O-DSCNT-CUST-DSTCD</t>
  </si>
  <si>
    <t>N/A</t>
  </si>
  <si>
    <t>주체별분류코드</t>
  </si>
  <si>
    <t>AACOM-MBDY-PER-CLSFI-CD</t>
  </si>
  <si>
    <t>XDAAE174-O-MBDY-P-CLSFI-DSTCD</t>
  </si>
  <si>
    <t>주체별세부구분코드</t>
  </si>
  <si>
    <t>AACOM-MBDY-P-DTALS-DSTCD</t>
  </si>
  <si>
    <t>XDAAE174-O-MBDY-P-DTALS-DSTCD</t>
  </si>
  <si>
    <t>고객상태구분코드</t>
  </si>
  <si>
    <t>AACOM-CUST-STUS-DSTCD</t>
  </si>
  <si>
    <t>XDAAE174-O-CUST-STUS-DSTCD</t>
  </si>
  <si>
    <t>최초등록년월일</t>
  </si>
  <si>
    <t>AACOM-FRST-REGI-YMD</t>
  </si>
  <si>
    <t>메모내용에 따라 주고있지는 않음</t>
  </si>
  <si>
    <t>최초등록부점코드</t>
  </si>
  <si>
    <t>AACOM-FRST-REGI-BRNCD</t>
  </si>
  <si>
    <t>최고등급구분코드</t>
  </si>
  <si>
    <t>AACOM-HGST-CUST-DSTCD</t>
  </si>
  <si>
    <t>XDAAE174-O-HGST-CUST-DSTCD</t>
  </si>
  <si>
    <t>실질등급구분코드</t>
  </si>
  <si>
    <t>AACOM-SELF-AZ-GRD-DSTCD</t>
  </si>
  <si>
    <t>XDAAE174-O-SELF-AZ-GRD-DSTCD</t>
  </si>
  <si>
    <t>폼ID</t>
  </si>
  <si>
    <t>AACOM-FM-ID</t>
  </si>
  <si>
    <t>상수영역 셋팅</t>
  </si>
  <si>
    <t>카드등급구분코드1</t>
  </si>
  <si>
    <t>AACOM-CARD-GRD-DSTCD1</t>
  </si>
  <si>
    <t>카드등급구분코드2</t>
  </si>
  <si>
    <t>AACOM-CARD-GRD-DSTCD2</t>
  </si>
  <si>
    <t>카드등급구분코드3</t>
  </si>
  <si>
    <t>AACOM-CARD-GRD-DSTCD3</t>
  </si>
  <si>
    <t>금지정보구분코드01</t>
  </si>
  <si>
    <t>AACOM-EMBG-I-DSTIC-CD01</t>
  </si>
  <si>
    <t>금지정보구분코드02</t>
  </si>
  <si>
    <t>AACOM-EMBG-I-DSTIC-CD02</t>
  </si>
  <si>
    <t>금지정보구분코드03</t>
  </si>
  <si>
    <t>AACOM-EMBG-I-DSTIC-CD03</t>
  </si>
  <si>
    <t>금지정보구분코드04</t>
  </si>
  <si>
    <t>AACOM-EMBG-I-DSTIC-CD04</t>
  </si>
  <si>
    <t>금지정보구분코드05</t>
  </si>
  <si>
    <t>AACOM-EMBG-I-DSTIC-CD05</t>
  </si>
  <si>
    <t>금지정보구분코드06</t>
  </si>
  <si>
    <t>AACOM-EMBG-I-DSTIC-CD06</t>
  </si>
  <si>
    <t>금지정보구분코드07</t>
  </si>
  <si>
    <t>AACOM-EMBG-I-DSTIC-CD07</t>
  </si>
  <si>
    <t>금지정보구분코드08</t>
  </si>
  <si>
    <t>AACOM-EMBG-I-DSTIC-CD08</t>
  </si>
  <si>
    <t>금지정보구분코드09</t>
  </si>
  <si>
    <t>AACOM-EMBG-I-DSTIC-CD</t>
  </si>
  <si>
    <t>금지정보구분코드10</t>
  </si>
  <si>
    <t>AACOM-EMBG-I-DSTIC-CD10</t>
  </si>
  <si>
    <t>XDAAE174-O-CUST-STUS-DSTCD 의 값에 의해 CASE / WHEN 구문</t>
  </si>
  <si>
    <t>정상부가메시지코드</t>
  </si>
  <si>
    <t>AACOM-ADED-MSG-CD</t>
  </si>
  <si>
    <t>사업자번호</t>
  </si>
  <si>
    <t>AACOM-BZNO</t>
  </si>
  <si>
    <t>고객유형분규구분에 따른 상세조회
개인사업자번호 / 법인사업자등록번호</t>
  </si>
  <si>
    <t>알리미표시여부</t>
  </si>
  <si>
    <t>AACOM-ALMI-REPSNT-YN</t>
  </si>
  <si>
    <t>기업규모구분코드</t>
  </si>
  <si>
    <t>AACOM-CORP-SCAL-DSTCD</t>
  </si>
  <si>
    <t>DAAK441 법인조회 DC프로그램 호출</t>
  </si>
  <si>
    <t>표준산업분류코드</t>
  </si>
  <si>
    <t>AACOM-STND-I-CLSFI-CD</t>
  </si>
  <si>
    <t>개인사업자공동대표여부</t>
  </si>
  <si>
    <t>AACOM-PPSN-B-JNT-RPSNT-YN</t>
  </si>
  <si>
    <t>FUCustBaseInfoMgt.getCustBascInfo() 중복고객번호로 제공되고 공동대표여부로는 제공되지는 않음
FUBznoInfoMgt..getRprsInfo() 대표자정보조회 의 공동대표유무 항목은 있음</t>
  </si>
  <si>
    <t xml:space="preserve">기본정보 / 대표자정보조회 </t>
  </si>
  <si>
    <t>등급안내거절여부</t>
  </si>
  <si>
    <t>AACOM-GRD-GUID-REJCN-YN</t>
  </si>
  <si>
    <t>DAAJ341 고객추가항목 DC프로그램 호출
IF  AACOM-CUST-IDNFR(1:1)  NOT =  CO-C6</t>
  </si>
  <si>
    <t>국적국가코드</t>
  </si>
  <si>
    <t>AACOM-NATLTY-NATNL-CD</t>
  </si>
  <si>
    <t>FUBznoInfoMgt.getPpsnCustDtailInfo()
FUBznoInfoMgt.getCoprCustDtailInfo() 국적ISO국가코드로 제공되고 메모처럼 제공되지는 않음</t>
  </si>
  <si>
    <t>거주소재지국가코드</t>
  </si>
  <si>
    <t>AACOM-RESI-LOC-NATNL-CD</t>
  </si>
  <si>
    <t>FUBznoInfoMgt.getPpsnCustDtailInfo()
FUBznoInfoMgt.getCoprCustDtailInfo() 거주소재지ISO국가코드로 제공되고 메모처럼 제공되지는 않음</t>
  </si>
  <si>
    <t>마케팅활용동의구분코드</t>
  </si>
  <si>
    <t>AACOM-MAKTNG-PC-DSTCD</t>
  </si>
  <si>
    <t>DAAB101 고객추가항목조회 DC 프로그램호출
IF  AACOM-DTALS-CPC-DSTCD  =  CO-C11</t>
  </si>
  <si>
    <t>FUPpsnInfoMgt.getCustMaktngInfo()</t>
  </si>
  <si>
    <t>마케팅동의정보조회</t>
  </si>
  <si>
    <t>카드고객명</t>
  </si>
  <si>
    <t>AACOM-CARD-CUSTNM</t>
  </si>
  <si>
    <t>XDAAE174-O-CARD-CUSTNM</t>
  </si>
  <si>
    <t>카드이용가능여부</t>
  </si>
  <si>
    <t>AACOM-CARD-U-ABIL-DSTCD</t>
  </si>
  <si>
    <t>XDAAE174-O-CARD-U-ABIL-DSTCD</t>
  </si>
  <si>
    <t>중복고객식별자</t>
  </si>
  <si>
    <t>AACOM-DUP-CUST-IDNFR</t>
  </si>
  <si>
    <t xml:space="preserve">600                    IF  XDAAE174-O-DUP-CUST-IDNFR NOT = SPACE
601                        MOVE  XDAAE174-O-DUP-CUST-IDNFR
602                          TO  AACOM-DUP-CUST-IDNFR
603                    END-IF
</t>
  </si>
  <si>
    <t>FUCustBaseInfoMgt.getCustBascInfo() 중복고객번호</t>
  </si>
  <si>
    <t>거래종료고객상태구분</t>
  </si>
  <si>
    <t>AACOM-CUST-END-STUS-DSTCD</t>
  </si>
  <si>
    <t>IAA0112 거래종료고객조회 모듈 호출</t>
  </si>
  <si>
    <t xml:space="preserve">FUCustBaseInfoMgt.getCustBascInfo() </t>
  </si>
  <si>
    <t>당일거래가능여부</t>
  </si>
  <si>
    <t>AACOM-TTDD-TRAN-ABIL-YN</t>
  </si>
  <si>
    <t>종료조회권한부여여부</t>
  </si>
  <si>
    <t>AACOM-END-I-ATH-GRNT-YN</t>
  </si>
  <si>
    <t>종료고객에 따른 예외 및 권한확인 필요..? XIJIHA01-O-ATH-GRNT-YN</t>
  </si>
  <si>
    <t>종료조회목적구분</t>
  </si>
  <si>
    <t>AACOM-END-I-OBJCTV-DSTCD</t>
  </si>
  <si>
    <t>종료조회에러여부</t>
  </si>
  <si>
    <t>AACOM-END-INQURY-ERR-YN</t>
  </si>
  <si>
    <t>CASE WHEN 로직 필요</t>
  </si>
  <si>
    <t>알리미대상구분</t>
  </si>
  <si>
    <t>AACOM-ALMI-TAGET-DSTCD</t>
  </si>
  <si>
    <t>기타대체번호</t>
  </si>
  <si>
    <t>AACOM-ALTR-NO</t>
  </si>
  <si>
    <t>FUCustBaseInfoMgt.getEtcAltrNo()</t>
  </si>
  <si>
    <t>기타대체번호조회</t>
  </si>
  <si>
    <t>고객영역예비</t>
  </si>
  <si>
    <t>AACOM-SPARE</t>
  </si>
  <si>
    <t>IAACOMM</t>
    <phoneticPr fontId="8" type="noConversion"/>
  </si>
  <si>
    <t>제공항목</t>
    <phoneticPr fontId="8" type="noConversion"/>
  </si>
  <si>
    <t>미제공항목</t>
    <phoneticPr fontId="8" type="noConversion"/>
  </si>
  <si>
    <r>
      <t>※</t>
    </r>
    <r>
      <rPr>
        <sz val="11"/>
        <color rgb="FFFF0000"/>
        <rFont val="Arial"/>
        <family val="2"/>
        <scheme val="minor"/>
      </rPr>
      <t xml:space="preserve"> n-kesa </t>
    </r>
    <r>
      <rPr>
        <sz val="11"/>
        <color rgb="FFFF0000"/>
        <rFont val="Arial"/>
        <family val="3"/>
        <charset val="129"/>
        <scheme val="minor"/>
      </rPr>
      <t>환경에서</t>
    </r>
    <r>
      <rPr>
        <sz val="11"/>
        <color rgb="FFFF0000"/>
        <rFont val="Arial"/>
        <family val="2"/>
        <scheme val="minor"/>
      </rPr>
      <t xml:space="preserve">  CA </t>
    </r>
    <r>
      <rPr>
        <sz val="11"/>
        <color rgb="FFFF0000"/>
        <rFont val="Arial"/>
        <family val="3"/>
        <charset val="129"/>
        <scheme val="minor"/>
      </rPr>
      <t>영역</t>
    </r>
    <r>
      <rPr>
        <sz val="11"/>
        <color rgb="FFFF0000"/>
        <rFont val="Arial"/>
        <family val="2"/>
        <scheme val="minor"/>
      </rPr>
      <t xml:space="preserve"> </t>
    </r>
    <r>
      <rPr>
        <sz val="11"/>
        <color rgb="FFFF0000"/>
        <rFont val="Arial"/>
        <family val="3"/>
        <charset val="129"/>
        <scheme val="minor"/>
      </rPr>
      <t>항목은</t>
    </r>
    <r>
      <rPr>
        <sz val="11"/>
        <color rgb="FFFF0000"/>
        <rFont val="Arial"/>
        <family val="2"/>
        <scheme val="minor"/>
      </rPr>
      <t xml:space="preserve"> M/F </t>
    </r>
    <r>
      <rPr>
        <sz val="11"/>
        <color rgb="FFFF0000"/>
        <rFont val="Arial"/>
        <family val="3"/>
        <charset val="129"/>
        <scheme val="minor"/>
      </rPr>
      <t>과</t>
    </r>
    <r>
      <rPr>
        <sz val="11"/>
        <color rgb="FFFF0000"/>
        <rFont val="Arial"/>
        <family val="2"/>
        <scheme val="minor"/>
      </rPr>
      <t xml:space="preserve"> </t>
    </r>
    <r>
      <rPr>
        <sz val="11"/>
        <color rgb="FFFF0000"/>
        <rFont val="Arial"/>
        <family val="3"/>
        <charset val="129"/>
        <scheme val="minor"/>
      </rPr>
      <t>상이함</t>
    </r>
    <phoneticPr fontId="8" type="noConversion"/>
  </si>
  <si>
    <r>
      <t xml:space="preserve">- </t>
    </r>
    <r>
      <rPr>
        <sz val="11"/>
        <color rgb="FFFF0000"/>
        <rFont val="Arial"/>
        <family val="3"/>
        <charset val="129"/>
        <scheme val="minor"/>
      </rPr>
      <t>코어현대화</t>
    </r>
    <r>
      <rPr>
        <sz val="11"/>
        <color rgb="FFFF0000"/>
        <rFont val="Arial"/>
        <family val="2"/>
        <scheme val="minor"/>
      </rPr>
      <t xml:space="preserve"> </t>
    </r>
    <r>
      <rPr>
        <sz val="11"/>
        <color rgb="FFFF0000"/>
        <rFont val="Arial"/>
        <family val="3"/>
        <charset val="129"/>
        <scheme val="minor"/>
      </rPr>
      <t>고객</t>
    </r>
    <r>
      <rPr>
        <sz val="11"/>
        <color rgb="FFFF0000"/>
        <rFont val="Arial"/>
        <family val="2"/>
        <scheme val="minor"/>
      </rPr>
      <t xml:space="preserve"> CA </t>
    </r>
    <r>
      <rPr>
        <sz val="11"/>
        <color rgb="FFFF0000"/>
        <rFont val="Arial"/>
        <family val="3"/>
        <charset val="129"/>
        <scheme val="minor"/>
      </rPr>
      <t>영역에서의</t>
    </r>
    <r>
      <rPr>
        <sz val="11"/>
        <color rgb="FFFF0000"/>
        <rFont val="Arial"/>
        <family val="2"/>
        <scheme val="minor"/>
      </rPr>
      <t xml:space="preserve"> </t>
    </r>
    <r>
      <rPr>
        <sz val="11"/>
        <color rgb="FFFF0000"/>
        <rFont val="Arial"/>
        <family val="3"/>
        <charset val="129"/>
        <scheme val="minor"/>
      </rPr>
      <t>제공항목은</t>
    </r>
    <r>
      <rPr>
        <sz val="11"/>
        <color rgb="FFFF0000"/>
        <rFont val="Arial"/>
        <family val="2"/>
        <scheme val="minor"/>
      </rPr>
      <t xml:space="preserve"> </t>
    </r>
    <r>
      <rPr>
        <sz val="11"/>
        <color rgb="FFFF0000"/>
        <rFont val="Arial"/>
        <family val="3"/>
        <charset val="129"/>
        <scheme val="minor"/>
      </rPr>
      <t>고객기본정보의</t>
    </r>
    <r>
      <rPr>
        <sz val="11"/>
        <color rgb="FFFF0000"/>
        <rFont val="Arial"/>
        <family val="2"/>
        <scheme val="minor"/>
      </rPr>
      <t xml:space="preserve"> </t>
    </r>
    <r>
      <rPr>
        <sz val="11"/>
        <color rgb="FFFF0000"/>
        <rFont val="Arial"/>
        <family val="3"/>
        <charset val="129"/>
        <scheme val="minor"/>
      </rPr>
      <t>항목입니다</t>
    </r>
    <phoneticPr fontId="8" type="noConversion"/>
  </si>
  <si>
    <t>TOBE 사용 방법</t>
    <phoneticPr fontId="8" type="noConversion"/>
  </si>
  <si>
    <t>호출모듈</t>
    <phoneticPr fontId="8" type="noConversion"/>
  </si>
  <si>
    <t>항목</t>
    <phoneticPr fontId="8" type="noConversion"/>
  </si>
  <si>
    <t>비고</t>
    <phoneticPr fontId="8" type="noConversion"/>
  </si>
  <si>
    <t>고객유형분류구분코드</t>
    <phoneticPr fontId="8" type="noConversion"/>
  </si>
  <si>
    <t>N/A</t>
    <phoneticPr fontId="8" type="noConversion"/>
  </si>
  <si>
    <t>FUPpsnInfoMgt.getCustMaktngInfo()</t>
    <phoneticPr fontId="8" type="noConversion"/>
  </si>
  <si>
    <r>
      <t xml:space="preserve">3.0.5 </t>
    </r>
    <r>
      <rPr>
        <sz val="9"/>
        <color indexed="64"/>
        <rFont val="Arial"/>
        <family val="3"/>
        <charset val="129"/>
        <scheme val="minor"/>
      </rPr>
      <t>고객정보모듈</t>
    </r>
    <r>
      <rPr>
        <sz val="9"/>
        <color indexed="64"/>
        <rFont val="Arial"/>
        <family val="2"/>
        <scheme val="minor"/>
      </rPr>
      <t xml:space="preserve"> </t>
    </r>
    <r>
      <rPr>
        <sz val="9"/>
        <color indexed="64"/>
        <rFont val="Arial"/>
        <family val="3"/>
        <charset val="129"/>
        <scheme val="minor"/>
      </rPr>
      <t>매핑</t>
    </r>
    <r>
      <rPr>
        <sz val="9"/>
        <color indexed="64"/>
        <rFont val="Arial"/>
        <family val="2"/>
        <scheme val="minor"/>
      </rPr>
      <t xml:space="preserve"> </t>
    </r>
    <r>
      <rPr>
        <sz val="9"/>
        <color indexed="64"/>
        <rFont val="Arial"/>
        <family val="3"/>
        <charset val="129"/>
        <scheme val="minor"/>
      </rPr>
      <t>및</t>
    </r>
    <r>
      <rPr>
        <sz val="9"/>
        <color indexed="64"/>
        <rFont val="Arial"/>
        <family val="2"/>
        <scheme val="minor"/>
      </rPr>
      <t xml:space="preserve"> </t>
    </r>
    <r>
      <rPr>
        <sz val="9"/>
        <color indexed="64"/>
        <rFont val="Arial"/>
        <family val="3"/>
        <charset val="129"/>
        <scheme val="minor"/>
      </rPr>
      <t>사용자가이드</t>
    </r>
    <r>
      <rPr>
        <sz val="9"/>
        <color indexed="64"/>
        <rFont val="Arial"/>
        <family val="2"/>
        <scheme val="minor"/>
      </rPr>
      <t xml:space="preserve"> - </t>
    </r>
    <r>
      <rPr>
        <sz val="9"/>
        <color indexed="64"/>
        <rFont val="Arial"/>
        <family val="3"/>
        <charset val="129"/>
        <scheme val="minor"/>
      </rPr>
      <t>코어뱅킹현대화</t>
    </r>
    <r>
      <rPr>
        <sz val="9"/>
        <color indexed="64"/>
        <rFont val="Arial"/>
        <family val="2"/>
        <scheme val="minor"/>
      </rPr>
      <t>1</t>
    </r>
    <r>
      <rPr>
        <sz val="9"/>
        <color indexed="64"/>
        <rFont val="Arial"/>
        <family val="3"/>
        <charset val="129"/>
        <scheme val="minor"/>
      </rPr>
      <t>단계</t>
    </r>
    <r>
      <rPr>
        <sz val="9"/>
        <color indexed="64"/>
        <rFont val="Arial"/>
        <family val="2"/>
        <scheme val="minor"/>
      </rPr>
      <t xml:space="preserve"> - KB Confluence Data Center</t>
    </r>
  </si>
  <si>
    <t>※ 고객 컨플 가이드 참조</t>
    <phoneticPr fontId="8" type="noConversion"/>
  </si>
  <si>
    <t>AACOM-RESI-LOC-NATNL-CD</t>
    <phoneticPr fontId="8" type="noConversion"/>
  </si>
  <si>
    <t>최고등급구분코드</t>
    <phoneticPr fontId="8" type="noConversion"/>
  </si>
  <si>
    <t>알리미표시여부</t>
    <phoneticPr fontId="8" type="noConversion"/>
  </si>
  <si>
    <t>AACOM-HGST-CUST-DSTCD</t>
    <phoneticPr fontId="8" type="noConversion"/>
  </si>
  <si>
    <t>AACOM-ALMI-REPSNT-YN</t>
    <phoneticPr fontId="8" type="noConversion"/>
  </si>
  <si>
    <t>FUBznoInfoMgt.getCoprCustDtailInfo()</t>
    <phoneticPr fontId="8" type="noConversion"/>
  </si>
  <si>
    <t>coprInfo 그룹 내 필드</t>
    <phoneticPr fontId="8" type="noConversion"/>
  </si>
  <si>
    <t>outCorpScalDstcd</t>
    <phoneticPr fontId="8" type="noConversion"/>
  </si>
  <si>
    <t>outStndIdstryClsfiCd</t>
    <phoneticPr fontId="8" type="noConversion"/>
  </si>
  <si>
    <t>outMaktngPuseCnsntDstcd</t>
    <phoneticPr fontId="8" type="noConversion"/>
  </si>
  <si>
    <t>필요시 문의요청</t>
    <phoneticPr fontId="8" type="noConversion"/>
  </si>
  <si>
    <t>3701</t>
  </si>
  <si>
    <t>10</t>
  </si>
  <si>
    <t>0</t>
  </si>
  <si>
    <t>1241745286</t>
  </si>
  <si>
    <t>3711</t>
  </si>
  <si>
    <t>5</t>
  </si>
  <si>
    <t>00000</t>
  </si>
  <si>
    <t>3716</t>
  </si>
  <si>
    <t>20</t>
  </si>
  <si>
    <t>811226*******</t>
  </si>
  <si>
    <t>3736</t>
  </si>
  <si>
    <t>2</t>
  </si>
  <si>
    <t>01</t>
  </si>
  <si>
    <t>3738</t>
  </si>
  <si>
    <t>52</t>
  </si>
  <si>
    <t>차지종</t>
  </si>
  <si>
    <t>3790</t>
  </si>
  <si>
    <t>3842</t>
  </si>
  <si>
    <t>1</t>
  </si>
  <si>
    <t>3843</t>
  </si>
  <si>
    <t>11</t>
  </si>
  <si>
    <t>3845</t>
  </si>
  <si>
    <t>3846</t>
  </si>
  <si>
    <t>3848</t>
  </si>
  <si>
    <t>KR</t>
  </si>
  <si>
    <t>3850</t>
  </si>
  <si>
    <t>3852</t>
  </si>
  <si>
    <t>3853</t>
  </si>
  <si>
    <t>3854</t>
  </si>
  <si>
    <t>3855</t>
  </si>
  <si>
    <t>52201</t>
  </si>
  <si>
    <t>3860</t>
  </si>
  <si>
    <t>00</t>
  </si>
  <si>
    <t>3862</t>
  </si>
  <si>
    <t>3863</t>
  </si>
  <si>
    <t>8</t>
  </si>
  <si>
    <t>19970319</t>
  </si>
  <si>
    <t>3871</t>
  </si>
  <si>
    <t>4</t>
  </si>
  <si>
    <t>8020</t>
  </si>
  <si>
    <t>3875</t>
  </si>
  <si>
    <t>3876</t>
  </si>
  <si>
    <t>3877</t>
  </si>
  <si>
    <t>KAA04962000</t>
  </si>
  <si>
    <t>3888</t>
  </si>
  <si>
    <t>3</t>
  </si>
  <si>
    <t/>
  </si>
  <si>
    <t>3891</t>
  </si>
  <si>
    <t>3894</t>
  </si>
  <si>
    <t>3897</t>
  </si>
  <si>
    <t>3900</t>
  </si>
  <si>
    <t>3903</t>
  </si>
  <si>
    <t>3906</t>
  </si>
  <si>
    <t>3909</t>
  </si>
  <si>
    <t>3912</t>
  </si>
  <si>
    <t>3915</t>
  </si>
  <si>
    <t>3918</t>
  </si>
  <si>
    <t>3921</t>
  </si>
  <si>
    <t>3924</t>
  </si>
  <si>
    <t>3927</t>
  </si>
  <si>
    <t>3935</t>
  </si>
  <si>
    <t>3945</t>
  </si>
  <si>
    <t>3946</t>
  </si>
  <si>
    <t>3947</t>
  </si>
  <si>
    <t>3952</t>
  </si>
  <si>
    <t>3953</t>
  </si>
  <si>
    <t>3954</t>
  </si>
  <si>
    <t>100</t>
  </si>
  <si>
    <t>3957</t>
  </si>
  <si>
    <t>3960</t>
  </si>
  <si>
    <t>6</t>
  </si>
  <si>
    <t>3961</t>
  </si>
  <si>
    <t>4013</t>
  </si>
  <si>
    <t>4014</t>
  </si>
  <si>
    <t>4024</t>
  </si>
  <si>
    <t>4025</t>
  </si>
  <si>
    <t>4026</t>
  </si>
  <si>
    <t>4027</t>
  </si>
  <si>
    <t>4028</t>
  </si>
  <si>
    <t>4029</t>
  </si>
  <si>
    <t>4030</t>
  </si>
  <si>
    <t>4040</t>
  </si>
  <si>
    <t>61</t>
  </si>
  <si>
    <t>O</t>
    <phoneticPr fontId="8" type="noConversion"/>
  </si>
  <si>
    <t>후처리</t>
    <phoneticPr fontId="8" type="noConversion"/>
  </si>
  <si>
    <t>XDAAE174-O-TX-DSTCD</t>
    <phoneticPr fontId="8" type="noConversion"/>
  </si>
  <si>
    <t>XDAAE174-O-NATLTY-ISO-NATNL-CD</t>
    <phoneticPr fontId="8" type="noConversion"/>
  </si>
  <si>
    <t>XDAAE174-O-RESI-L-ISO-NATNL-CD</t>
    <phoneticPr fontId="8" type="noConversion"/>
  </si>
  <si>
    <t>XDAAE174-O-NORESI-YN</t>
    <phoneticPr fontId="8" type="noConversion"/>
  </si>
  <si>
    <t>XDAAE174-O-DSCNT-CUST-DSTCD</t>
    <phoneticPr fontId="8" type="noConversion"/>
  </si>
  <si>
    <t>XDAAE174-O-MBDY-P-CLSFI-DSTCD</t>
    <phoneticPr fontId="8" type="noConversion"/>
  </si>
  <si>
    <t>XDAAE174-O-MBDY-P-DTALS-DSTCD</t>
    <phoneticPr fontId="8" type="noConversion"/>
  </si>
  <si>
    <t>LOGIC은 있지만 174 모듈의 응답</t>
    <phoneticPr fontId="8" type="noConversion"/>
  </si>
  <si>
    <t>XDAAE174-O-SELF-AZ-GRD-DSTCD</t>
    <phoneticPr fontId="8" type="noConversion"/>
  </si>
  <si>
    <t>?</t>
    <phoneticPr fontId="8" type="noConversion"/>
  </si>
  <si>
    <t>AACOM X &gt; 0044 에서 다른영역으로?</t>
    <phoneticPr fontId="8" type="noConversion"/>
  </si>
  <si>
    <t>특정조건에 의해 BPBS 테이블 탐색</t>
    <phoneticPr fontId="8" type="noConversion"/>
  </si>
  <si>
    <t>XDAAE174-O-CARD-U-ABIL-DSTCD</t>
    <phoneticPr fontId="8" type="noConversion"/>
  </si>
  <si>
    <t>고유번호 들어올때 대체고객테이블 탐색..</t>
    <phoneticPr fontId="8" type="noConversion"/>
  </si>
  <si>
    <t>한글필드명</t>
    <phoneticPr fontId="8" type="noConversion"/>
  </si>
  <si>
    <t>타입</t>
    <phoneticPr fontId="8" type="noConversion"/>
  </si>
  <si>
    <t>옵셋</t>
    <phoneticPr fontId="8" type="noConversion"/>
  </si>
  <si>
    <t>길이</t>
    <phoneticPr fontId="8" type="noConversion"/>
  </si>
  <si>
    <t>소수</t>
    <phoneticPr fontId="8" type="noConversion"/>
  </si>
  <si>
    <t>값</t>
    <phoneticPr fontId="8" type="noConversion"/>
  </si>
  <si>
    <t>필드명</t>
    <phoneticPr fontId="8" type="noConversion"/>
  </si>
  <si>
    <t>과세구분코드</t>
    <phoneticPr fontId="8" type="noConversion"/>
  </si>
  <si>
    <t>N/A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</si>
</sst>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64"/>
      <name val="Arial"/>
      <scheme val="minor"/>
    </font>
    <font>
      <sz val="9"/>
      <color indexed="64"/>
      <name val="KB금융 본문체 Light"/>
      <family val="3"/>
      <charset val="129"/>
    </font>
    <font>
      <sz val="9"/>
      <color indexed="64"/>
      <name val="Arial"/>
      <family val="2"/>
      <scheme val="minor"/>
    </font>
    <font>
      <sz val="9"/>
      <name val="KB금융 본문체 Light"/>
      <family val="3"/>
      <charset val="129"/>
    </font>
    <font>
      <b/>
      <sz val="9"/>
      <name val="Tahoma"/>
      <family val="2"/>
    </font>
    <font>
      <sz val="9"/>
      <name val="Tahoma"/>
      <family val="2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8"/>
      <name val="Arial"/>
      <family val="3"/>
      <charset val="129"/>
      <scheme val="minor"/>
    </font>
    <font>
      <b/>
      <sz val="9"/>
      <name val="KB금융 본문체 Light"/>
      <family val="3"/>
      <charset val="129"/>
    </font>
    <font>
      <sz val="11"/>
      <color indexed="64"/>
      <name val="Arial"/>
      <family val="3"/>
      <charset val="129"/>
      <scheme val="minor"/>
    </font>
    <font>
      <b/>
      <sz val="11"/>
      <color rgb="FFFF0000"/>
      <name val="KB금융 제목체 Light"/>
      <family val="3"/>
      <charset val="129"/>
    </font>
    <font>
      <sz val="11"/>
      <color rgb="FFFF0000"/>
      <name val="Arial"/>
      <family val="3"/>
      <charset val="129"/>
      <scheme val="minor"/>
    </font>
    <font>
      <sz val="11"/>
      <color rgb="FFFF0000"/>
      <name val="Arial"/>
      <family val="2"/>
      <scheme val="minor"/>
    </font>
    <font>
      <sz val="9"/>
      <color indexed="64"/>
      <name val="Arial"/>
      <family val="3"/>
      <charset val="129"/>
      <scheme val="minor"/>
    </font>
    <font>
      <b/>
      <sz val="9"/>
      <name val="KB금융 제목체 Light"/>
      <family val="3"/>
      <charset val="129"/>
    </font>
    <font>
      <sz val="9"/>
      <color indexed="64"/>
      <name val="KB금융 제목체 Light"/>
      <family val="3"/>
      <charset val="129"/>
    </font>
    <font>
      <sz val="9"/>
      <name val="KB금융 제목체 Light"/>
      <family val="3"/>
      <charset val="129"/>
    </font>
    <font>
      <b/>
      <sz val="9"/>
      <color rgb="FFFF0000"/>
      <name val="KB금융 제목체 Light"/>
      <family val="3"/>
      <charset val="129"/>
    </font>
    <font>
      <sz val="9"/>
      <color rgb="FFFF0000"/>
      <name val="KB금융 제목체 Light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1" xfId="0" applyNumberFormat="1" applyFont="1" applyBorder="1" applyAlignment="1"/>
    <xf numFmtId="49" fontId="3" fillId="0" borderId="2" xfId="0" applyNumberFormat="1" applyFont="1" applyBorder="1" applyAlignment="1"/>
    <xf numFmtId="49" fontId="3" fillId="2" borderId="1" xfId="0" applyNumberFormat="1" applyFont="1" applyFill="1" applyBorder="1" applyAlignment="1"/>
    <xf numFmtId="49" fontId="3" fillId="0" borderId="3" xfId="0" applyNumberFormat="1" applyFont="1" applyBorder="1" applyAlignment="1"/>
    <xf numFmtId="49" fontId="3" fillId="3" borderId="1" xfId="0" applyNumberFormat="1" applyFont="1" applyFill="1" applyBorder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9" fontId="3" fillId="4" borderId="1" xfId="0" applyNumberFormat="1" applyFont="1" applyFill="1" applyBorder="1" applyAlignment="1"/>
    <xf numFmtId="49" fontId="9" fillId="5" borderId="1" xfId="0" applyNumberFormat="1" applyFont="1" applyFill="1" applyBorder="1" applyAlignment="1"/>
    <xf numFmtId="49" fontId="3" fillId="0" borderId="1" xfId="0" applyNumberFormat="1" applyFont="1" applyFill="1" applyBorder="1" applyAlignment="1"/>
    <xf numFmtId="0" fontId="10" fillId="0" borderId="0" xfId="0" applyFont="1" applyAlignment="1">
      <alignment vertical="center"/>
    </xf>
    <xf numFmtId="0" fontId="11" fillId="6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quotePrefix="1" applyFont="1" applyAlignment="1">
      <alignment vertical="center"/>
    </xf>
    <xf numFmtId="49" fontId="15" fillId="5" borderId="1" xfId="0" applyNumberFormat="1" applyFont="1" applyFill="1" applyBorder="1" applyAlignment="1"/>
    <xf numFmtId="0" fontId="16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18" fillId="6" borderId="0" xfId="0" applyFont="1" applyFill="1">
      <alignment vertical="center"/>
    </xf>
    <xf numFmtId="0" fontId="16" fillId="0" borderId="0" xfId="0" applyFont="1">
      <alignment vertical="center"/>
    </xf>
    <xf numFmtId="0" fontId="2" fillId="0" borderId="0" xfId="0" applyFont="1">
      <alignment vertical="center"/>
    </xf>
    <xf numFmtId="0" fontId="15" fillId="7" borderId="0" xfId="0" applyFont="1" applyFill="1">
      <alignment vertical="center"/>
    </xf>
    <xf numFmtId="49" fontId="17" fillId="0" borderId="1" xfId="0" applyNumberFormat="1" applyFont="1" applyBorder="1">
      <alignment vertical="center"/>
    </xf>
    <xf numFmtId="0" fontId="16" fillId="0" borderId="1" xfId="0" applyFont="1" applyBorder="1">
      <alignment vertical="center"/>
    </xf>
    <xf numFmtId="0" fontId="14" fillId="0" borderId="0" xfId="0" applyFont="1">
      <alignment vertical="center"/>
    </xf>
    <xf numFmtId="49" fontId="19" fillId="0" borderId="1" xfId="0" applyNumberFormat="1" applyFont="1" applyBorder="1">
      <alignment vertical="center"/>
    </xf>
    <xf numFmtId="0" fontId="19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호석(S024054)" id="{717AA4CA-103A-EA4D-01FB-DF1BFCEFCA43}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0" personId="{717AA4CA-103A-EA4D-01FB-DF1BFCEFCA43}" id="{006500CA-00C2-4EE2-BA3F-00B5007800ED}" done="0">
    <text xml:space="preserve">830       *@  세부고객유형분류구분 = '12'(개인사업자)
831       *                            '13'(카드개인부서사업자)
832       *                            '14'(개인세부고객)
833       *                            '23'(카드법인부서사업자)
834       *                            '24'(법인사업자세부고객)
835       *                            '44'(임의단체세부고객)
836       * 일경우 세부고객의 등록년월일, 등록부점코드
837       * 대표고객일 경우
838       * 고객기본의 최초등록년월일,카드최초등록년월일 중
839       * 작은 값에 해당하는 년월일 및
840       * 년월일에 따른 부점코드를 셋팅함
841            IF  XDAAE174-O-DTALS-CPC-DSTCD  =  CO-C12  OR
842                                               CO-C13  OR
843                                               CO-C14  OR
844                                               CO-C23  OR
845                                               CO-C24  OR
846                                               CO-C44
847       *-- 세부고객등록년월일  -&gt;  최초등록년월일
848                MOVE  XDAAE174-O-DTALS-CUST-REGI-YMD
849                                        TO AACOM-FRST-REGI-YMD
850       *-- 세부고객등록부점코드  -&gt;  최초등록부점코드
851                MOVE  XDAAE174-O-DTALS-C-REGI-BRNCD
852                                        TO AACOM-FRST-REGI-BRNCD
853            END-IF
854       *    ELSE
855            IF  XDAAE174-O-DTALS-CPC-DSTCD  NOT =  CO-C12  AND
856                XDAAE174-O-DTALS-CPC-DSTCD  NOT =  CO-C13  AND
857                XDAAE174-O-DTALS-CPC-DSTCD  NOT =  CO-C14  AND
858                XDAAE174-O-DTALS-CPC-DSTCD  NOT =  CO-C23  AND
859                XDAAE174-O-DTALS-CPC-DSTCD  NOT =  CO-C24  AND
860                XDAAE174-O-DTALS-CPC-DSTCD  NOT =  CO-C44
861       *-- 최초등록년월일
862                EVALUATE  TRUE
863                    WHEN  XDAAE174-O-CARD-FRST-REGI-YMD  =  SPACE  OR
864                                                      CO-NULL-YMD
865 
866                    IF  XDAAE174-O-FRST-REGI-YMD  = SPACE  OR
867                                                    CO-NULL-YMD
868                        CONTINUE
869                    ELSE
870                        MOVE  XDAAE174-O-FRST-REGI-YMD
871                                        TO AACOM-FRST-REGI-YMD
872                    END-IF
873 
874                    WHEN  XDAAE174-O-FRST-REGI-YMD  =  SPACE  OR
875                                                     CO-NULL-YMD
876                        MOVE  XDAAE174-O-CARD-FRST-REGI-YMD
877                                        TO AACOM-FRST-REGI-YMD
878                    WHEN OTHER
879                        IF  XDAAE174-O-CARD-FRST-REGI-YMD &gt;
880                            XDAAE174-O-FRST-REGI-YMD
881                            MOVE  XDAAE174-O-FRST-REGI-YMD
882                                        TO AACOM-FRST-REGI-YMD
883                        ELSE
884                            MOVE  XDAAE174-O-CARD-FRST-REGI-YMD
885                                        TO AACOM-FRST-REGI-YMD
886                        END-IF
887                END-EVALUATE
</text>
  </threadedComment>
  <threadedComment ref="H21" personId="{717AA4CA-103A-EA4D-01FB-DF1BFCEFCA43}" id="{002F0021-0058-4BBF-8747-00A5000D0003}" done="0">
    <text xml:space="preserve">889       *-- 최초등록부점코드
890                IF  XDAAE174-O-CARD-F-REGI-BRNCD  =  SPACE  OR
891                                                     CO-NULL-BRNCD
892                    IF  XDAAE174-O-FRST-REGI-BRNCD  =  SPACE  OR
893                                                       CO-NULL-BRNCD
894                        CONTINUE
895                    ELSE
896                        MOVE  XDAAE174-O-FRST-REGI-BRNCD
897                                        TO AACOM-FRST-REGI-BRNCD
898                    END-IF
899 
900                END-IF
901       *        ELSE
902                IF  XDAAE174-O-CARD-F-REGI-BRNCD  NOT =  SPACE  AND
903                    XDAAE174-O-CARD-F-REGI-BRNCD  NOT =  CO-NULL-BRNCD
904                    IF  XDAAE174-O-FRST-REGI-BRNCD  =  SPACE  OR
905                                                       CO-NULL-BRNCD
906                        MOVE  XDAAE174-O-CARD-F-REGI-BRNCD
907                                        TO AACOM-FRST-REGI-BRNCD
908                    ELSE
909                        IF  XDAAE174-O-CARD-FRST-REGI-YMD &gt;
910                            XDAAE174-O-FRST-REGI-YMD
911                            MOVE  XDAAE174-O-FRST-REGI-BRNCD
912                                        TO AACOM-FRST-REGI-BRNCD
913                        ELSE
914                            MOVE  XDAAE174-O-CARD-F-REGI-BRNCD
915                                        TO AACOM-FRST-REGI-BRNCD
916                        END-IF
917                    END-IF
918                END-IF
919 
920            END-IF
</text>
  </threadedComment>
  <threadedComment ref="H4" personId="{717AA4CA-103A-EA4D-01FB-DF1BFCEFCA43}" id="{00DE004E-000D-4794-A5EB-0032003F0028}" done="0">
    <text xml:space="preserve">709       *@   개인사업자의 고객고유번호   -&gt; 사업자번호
710            #USRLOG "JJS XDAAE174-O-CUST-PZ-CLSFI-DSTCD == "
711                         XDAAE174-O-CUST-PZ-CLSFI-DSTCD
712            IF  XDAAE174-O-CUST-PZ-CLSFI-DSTCD  =  CO-C2
713       *-- 고객고유번호
714                MOVE  XDAAE174-O-RPSNT-PPSN-CUNIQNO
715                                        TO AACOM-CUNIQNO
716       *-- 고객고유번호구분코드
717                MOVE  XDAAE174-O-RPSNT-PC-DSTCD
718                                        TO AACOM-CUNIQNO-DSTCD
719       *-- 사업자번호
720                IF  XDAAE174-O-DTALS-CPC-DSTCD  =  CO-C14  AND
721                    XDAAE174-O-TRANR-DSTCD      =  CO-C02
722       *@ 세부고객의 거래자구분이 '02'(개인기업) 이면서
723       *@ 세부고객유형이 '14'(개인세부고객)인 것
724                    MOVE  SPACE
725                                        TO AACOM-BZNO
726                ELSE
727       *@ 주민번호 + 고객명(업체명)으로 조회한 경우
728       *@ 개인사업자인데 고객고유번호 자리에는 주민번호가 옴
729       *@ 이 경우는 개인사업자 테이블을 재조회하여 사업자번호
730       *@ 를 조립함
731                    IF  XDAAE174-O-CUNIQNO-DSTCD  NOT   =  CO-C02  AND
732                        XDAAE174-O-DTALS-CPC-DSTCD      =  CO-C12
733 
734       *@ 개인사업자 테이블 조회
735                        PERFORM S3120-DAAQ121-CALL-RTN
736                           THRU S3120-DAAQ121-CALL-EXT
737                    ELSE
738                        MOVE  XDAAE174-O-CUNIQNO
739                                        TO AACOM-BZNO
740                    END-IF
741                END-IF
742            ELSE
743       *-- 고객고유번호
744                MOVE  XDAAE174-O-CUNIQNO
745                                        TO AACOM-CUNIQNO
746       *-- 고객고유번호구분코드
747                MOVE  XDAAE174-O-CUNIQNO-DSTCD
748                                        TO AACOM-CUNIQNO-DSTCD
749            END-IF
</text>
  </threadedComment>
  <threadedComment ref="H39" personId="{717AA4CA-103A-EA4D-01FB-DF1BFCEFCA43}" id="{008200BA-000F-4C95-BD7E-00CB00E900F0}" done="0">
    <text xml:space="preserve">476       *@2.2 개인사업자공동대표여부조회
477            IF  AACOM-CUST-PZ-CLSFI-DSTCD  =  CO-C2  AND
478                WK-CASE  =  CO-C1
479       *@ 개인사업자조회
480                PERFORM S3400-DAAQ122-CALL-RTN
481                   THRU S3400-DAAQ122-CALL-EXT
482            END-IF
중략....
706       *@ 개인사업자일 경우
707       *@   대표개인의 고객고유번호     -&gt; 고객고유번호
708       *@   대표개인의 고객고유번호구분 -&gt; 고객고유번호구분
709       *@   개인사업자의 고객고유번호   -&gt; 사업자번호
710            #USRLOG "JJS XDAAE174-O-CUST-PZ-CLSFI-DSTCD == "
711                         XDAAE174-O-CUST-PZ-CLSFI-DSTCD
712            IF  XDAAE174-O-CUST-PZ-CLSFI-DSTCD  =  CO-C2
713       *-- 고객고유번호
714                MOVE  XDAAE174-O-RPSNT-PPSN-CUNIQNO
715                                        TO AACOM-CUNIQNO
716       *-- 고객고유번호구분코드
717                MOVE  XDAAE174-O-RPSNT-PC-DSTCD
718                                        TO AACOM-CUNIQNO-DSTCD
719       *-- 사업자번호
720                IF  XDAAE174-O-DTALS-CPC-DSTCD  =  CO-C14  AND
721                    XDAAE174-O-TRANR-DSTCD      =  CO-C02
722       *@ 세부고객의 거래자구분이 '02'(개인기업) 이면서
723       *@ 세부고객유형이 '14'(개인세부고객)인 것
724                    MOVE  SPACE
725                                        TO AACOM-BZNO
726                ELSE
727       *@ 주민번호 + 고객명(업체명)으로 조회한 경우
728       *@ 개인사업자인데 고객고유번호 자리에는 주민번호가 옴
729       *@ 이 경우는 개인사업자 테이블을 재조회하여 사업자번호
730       *@ 를 조립함
731                    IF  XDAAE174-O-CUNIQNO-DSTCD  NOT   =  CO-C02  AND
732                        XDAAE174-O-DTALS-CPC-DSTCD      =  CO-C12
733 
734       *@ 개인사업자 테이블 조회
735                        PERFORM S3120-DAAQ121-CALL-RTN
736                           THRU S3120-DAAQ121-CALL-EXT
737                    ELSE
738                        MOVE  XDAAE174-O-CUNIQNO
739                                        TO AACOM-BZNO
740                    END-IF
741                END-IF
742            ELSE
</text>
  </threadedComment>
  <threadedComment ref="H40" personId="{717AA4CA-103A-EA4D-01FB-DF1BFCEFCA43}" id="{003400CF-0095-4E31-8F8D-00CB006F0087}" done="0">
    <text xml:space="preserve">928       *-- 알리미표시여부(수동거래가 아닐 경우만 셋팅)
929       *-- 알리미표시제한(은행단말만　표시)-2011.06.07 (카드분사)
930 160603*-- 알리미표시제한(요구불대량신규 화면)
931            IF  BICOM-CUPLD-TRAN-DSTCD  NOT =  CO-C2   AND
932                BICOM-SCREN-NO  NOT = CO-CL-NEW AND
933                JICOM-BRN-STHL-CO-DSTCD     =  '01'
934                MOVE  XDAAE174-O-ALMI-REPSNT-YN
935                                        TO AACOM-ALMI-REPSNT-YN
936            END-IF
</text>
  </threadedComment>
  <threadedComment ref="H45" personId="{717AA4CA-103A-EA4D-01FB-DF1BFCEFCA43}" id="{00F50091-0058-4FCC-BE82-0037007400A2}" done="0">
    <text xml:space="preserve">494       *@2.4 국적ISO국가코드 -&gt; 국적국가코드 변환
495            EVALUATE  AACOM-NATLTY-ISO-NATNL-CD
496                WHEN  'KR'
497       *-- 국적국가코드
498                    MOVE  '100'         TO AACOM-NATLTY-NATNL-CD
499                WHEN  SPACE
500                    CONTINUE
501                WHEN  OTHER
502                    PERFORM S3600-CJINA01-CALL-RTN
503                       THRU S3600-CJINA01-CALL-EXT
504            END-EVALUATE
</text>
  </threadedComment>
  <threadedComment ref="H46" personId="{717AA4CA-103A-EA4D-01FB-DF1BFCEFCA43}" id="{00C00009-0031-4DD0-B0D5-00E300C30097}" done="0">
    <text xml:space="preserve">506       *@2.5 거재소재지ISO국가코드 -&gt; 거재소재지국가코드 변환
507            EVALUATE  AACOM-RESI-L-ISO-NATNL-CD
508                WHEN  'KR'
509       *-- 거주소재지국가코드
510                    MOVE  '100'         TO AACOM-RESI-LOC-NATNL-CD
511                WHEN  SPACE
512                    CONTINUE
513                WHEN  OTHER
514                    PERFORM S3610-CJINA01-CALL-RTN
515                       THRU S3610-CJINA01-CALL-EXT
516            END-EVALUATE
</text>
  </threadedComment>
  <threadedComment ref="H47" personId="{717AA4CA-103A-EA4D-01FB-DF1BFCEFCA43}" id="{006B0032-002B-4FE4-9ABD-007100D5001B}" done="0">
    <text xml:space="preserve">518       *@2.6 마케팅활용동의구분 조회
519            IF  AACOM-DTALS-CPC-DSTCD  =  CO-C11
520       *@ 개인조회
521                PERFORM S3700-DAAB101-CALL-RTN
522                   THRU S3700-DAAB101-CALL-EXT
523            END-IF
</text>
  </threadedComment>
  <threadedComment ref="H52" personId="{717AA4CA-103A-EA4D-01FB-DF1BFCEFCA43}" id="{003400FF-00A4-4392-BC09-00D500FD009A}" done="0">
    <text xml:space="preserve">1625       *        당일거래가능여부
1626                IF  XIAA0112-O-REVOC-START-YMD &lt;= BICOM-TRAN-BASE-YMD
1627                    AND
1628                    XIAA0112-O-REVOC-END-YMD &gt;= BICOM-TRAN-BASE-YMD
1629                    AND
1630                    XIAA0112-O-INQURY-ATHOR-BRNCD = BICOM-BRNCD
1631 
1632                    MOVE  CO-C1
1633                      TO  AACOM-TTDD-TRAN-ABIL-YN
</text>
  </threadedComment>
  <threadedComment ref="H57" personId="{717AA4CA-103A-EA4D-01FB-DF1BFCEFCA43}" id="{002600DA-0027-408F-8A9D-009600360019}" done="0">
    <text xml:space="preserve">1694       *   대체고객식별자
1695            IF  WK-SEARCH-CUST-IDNFR(1:1) = 'Z'
1696                MOVE  WK-SEARCH-CUST-IDNFR
1697                  TO  AACOM-ALTR-NO
1698            ELSE
1725       *@  DC기타매핑고객 일련번호 조회 프로그램 호출
1726            #DYCALL  DAAZ101
1727                     YCCOMMON-CA
1728                     XDAAZ101-CA
1729 
1730            IF  XDAAZ101-R-STAT = CO-STAT-OK
1731 
1732                MOVE  XDAAZ101-O-CUST-IDNFR
1733                  TO  AACOM-ALTR-NO
1734 
1735            END-IF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B36" sqref="B36"/>
    </sheetView>
  </sheetViews>
  <sheetFormatPr defaultRowHeight="14.25" x14ac:dyDescent="0.2"/>
  <cols>
    <col min="1" max="1" width="18.875" bestFit="1" customWidth="1"/>
    <col min="2" max="2" width="27.625" bestFit="1" customWidth="1"/>
    <col min="3" max="3" width="5.25" customWidth="1"/>
    <col min="4" max="4" width="32.125" customWidth="1"/>
    <col min="5" max="5" width="15.375" customWidth="1"/>
    <col min="6" max="6" width="29.625" bestFit="1" customWidth="1"/>
  </cols>
  <sheetData>
    <row r="1" spans="1:4" ht="15" x14ac:dyDescent="0.2">
      <c r="A1" s="16" t="s">
        <v>167</v>
      </c>
      <c r="B1" s="15"/>
    </row>
    <row r="2" spans="1:4" x14ac:dyDescent="0.2">
      <c r="A2" s="13" t="s">
        <v>0</v>
      </c>
      <c r="B2" s="13" t="s">
        <v>1</v>
      </c>
      <c r="D2" s="17" t="s">
        <v>169</v>
      </c>
    </row>
    <row r="3" spans="1:4" x14ac:dyDescent="0.2">
      <c r="A3" s="12" t="s">
        <v>3</v>
      </c>
      <c r="B3" s="5" t="s">
        <v>5</v>
      </c>
      <c r="D3" s="18" t="s">
        <v>170</v>
      </c>
    </row>
    <row r="4" spans="1:4" x14ac:dyDescent="0.2">
      <c r="A4" s="12" t="s">
        <v>9</v>
      </c>
      <c r="B4" s="5" t="s">
        <v>10</v>
      </c>
    </row>
    <row r="5" spans="1:4" x14ac:dyDescent="0.2">
      <c r="A5" s="12" t="s">
        <v>12</v>
      </c>
      <c r="B5" s="14" t="s">
        <v>13</v>
      </c>
    </row>
    <row r="6" spans="1:4" x14ac:dyDescent="0.2">
      <c r="A6" s="12" t="s">
        <v>15</v>
      </c>
      <c r="B6" s="14" t="s">
        <v>16</v>
      </c>
    </row>
    <row r="7" spans="1:4" x14ac:dyDescent="0.2">
      <c r="A7" s="12" t="s">
        <v>18</v>
      </c>
      <c r="B7" s="14" t="s">
        <v>19</v>
      </c>
    </row>
    <row r="8" spans="1:4" x14ac:dyDescent="0.2">
      <c r="A8" s="12" t="s">
        <v>21</v>
      </c>
      <c r="B8" s="14" t="s">
        <v>22</v>
      </c>
    </row>
    <row r="9" spans="1:4" x14ac:dyDescent="0.2">
      <c r="A9" s="12" t="s">
        <v>175</v>
      </c>
      <c r="B9" s="14" t="s">
        <v>25</v>
      </c>
    </row>
    <row r="10" spans="1:4" x14ac:dyDescent="0.2">
      <c r="A10" s="12" t="s">
        <v>27</v>
      </c>
      <c r="B10" s="14" t="s">
        <v>28</v>
      </c>
    </row>
    <row r="11" spans="1:4" x14ac:dyDescent="0.2">
      <c r="A11" s="12" t="s">
        <v>35</v>
      </c>
      <c r="B11" s="14" t="s">
        <v>36</v>
      </c>
    </row>
    <row r="12" spans="1:4" x14ac:dyDescent="0.2">
      <c r="A12" s="12" t="s">
        <v>47</v>
      </c>
      <c r="B12" s="14" t="s">
        <v>48</v>
      </c>
    </row>
    <row r="13" spans="1:4" x14ac:dyDescent="0.2">
      <c r="A13" s="12" t="s">
        <v>60</v>
      </c>
      <c r="B13" s="3" t="s">
        <v>61</v>
      </c>
    </row>
    <row r="14" spans="1:4" x14ac:dyDescent="0.2">
      <c r="A14" s="12" t="s">
        <v>181</v>
      </c>
      <c r="B14" s="3" t="s">
        <v>183</v>
      </c>
      <c r="D14" s="15"/>
    </row>
    <row r="15" spans="1:4" x14ac:dyDescent="0.2">
      <c r="A15" s="12" t="s">
        <v>182</v>
      </c>
      <c r="B15" s="3" t="s">
        <v>184</v>
      </c>
      <c r="D15" s="15"/>
    </row>
    <row r="16" spans="1:4" x14ac:dyDescent="0.2">
      <c r="A16" s="12" t="s">
        <v>140</v>
      </c>
      <c r="B16" s="3" t="s">
        <v>141</v>
      </c>
    </row>
    <row r="17" spans="1:2" x14ac:dyDescent="0.2">
      <c r="A17" s="12" t="s">
        <v>144</v>
      </c>
      <c r="B17" s="3" t="s">
        <v>145</v>
      </c>
    </row>
    <row r="18" spans="1:2" x14ac:dyDescent="0.2">
      <c r="A18" s="12" t="s">
        <v>148</v>
      </c>
      <c r="B18" s="3" t="s">
        <v>149</v>
      </c>
    </row>
    <row r="19" spans="1:2" x14ac:dyDescent="0.2">
      <c r="A19" s="12" t="s">
        <v>153</v>
      </c>
      <c r="B19" s="3" t="s">
        <v>154</v>
      </c>
    </row>
    <row r="20" spans="1:2" x14ac:dyDescent="0.2">
      <c r="A20" s="12" t="s">
        <v>297</v>
      </c>
      <c r="B20" s="23" t="s">
        <v>31</v>
      </c>
    </row>
    <row r="21" spans="1:2" x14ac:dyDescent="0.2">
      <c r="A21" s="12" t="s">
        <v>38</v>
      </c>
      <c r="B21" s="23" t="s">
        <v>39</v>
      </c>
    </row>
    <row r="22" spans="1:2" x14ac:dyDescent="0.2">
      <c r="A22" s="12" t="s">
        <v>41</v>
      </c>
      <c r="B22" s="23" t="s">
        <v>42</v>
      </c>
    </row>
    <row r="23" spans="1:2" x14ac:dyDescent="0.2">
      <c r="A23" s="12" t="s">
        <v>44</v>
      </c>
      <c r="B23" s="23" t="s">
        <v>45</v>
      </c>
    </row>
    <row r="24" spans="1:2" x14ac:dyDescent="0.2">
      <c r="A24" s="12" t="s">
        <v>50</v>
      </c>
      <c r="B24" s="23" t="s">
        <v>51</v>
      </c>
    </row>
    <row r="25" spans="1:2" x14ac:dyDescent="0.2">
      <c r="A25" s="12" t="s">
        <v>54</v>
      </c>
      <c r="B25" s="23" t="s">
        <v>55</v>
      </c>
    </row>
    <row r="26" spans="1:2" x14ac:dyDescent="0.2">
      <c r="A26" s="12" t="s">
        <v>57</v>
      </c>
      <c r="B26" s="23" t="s">
        <v>58</v>
      </c>
    </row>
    <row r="27" spans="1:2" x14ac:dyDescent="0.2">
      <c r="A27" s="12" t="s">
        <v>63</v>
      </c>
      <c r="B27" s="23" t="s">
        <v>64</v>
      </c>
    </row>
    <row r="28" spans="1:2" x14ac:dyDescent="0.2">
      <c r="A28" s="12" t="s">
        <v>66</v>
      </c>
      <c r="B28" s="23" t="s">
        <v>67</v>
      </c>
    </row>
    <row r="29" spans="1:2" x14ac:dyDescent="0.2">
      <c r="A29" s="12" t="s">
        <v>71</v>
      </c>
      <c r="B29" s="23" t="s">
        <v>72</v>
      </c>
    </row>
    <row r="30" spans="1:2" x14ac:dyDescent="0.2">
      <c r="A30" s="12" t="s">
        <v>106</v>
      </c>
      <c r="B30" s="23" t="s">
        <v>107</v>
      </c>
    </row>
    <row r="31" spans="1:2" x14ac:dyDescent="0.2">
      <c r="A31" s="12" t="s">
        <v>109</v>
      </c>
      <c r="B31" s="23" t="s">
        <v>110</v>
      </c>
    </row>
    <row r="32" spans="1:2" x14ac:dyDescent="0.2">
      <c r="A32" s="12" t="s">
        <v>160</v>
      </c>
      <c r="B32" s="23" t="s">
        <v>161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zoomScale="115" zoomScaleNormal="115" workbookViewId="0">
      <selection activeCell="C37" sqref="C37"/>
    </sheetView>
  </sheetViews>
  <sheetFormatPr defaultRowHeight="12" x14ac:dyDescent="0.2"/>
  <cols>
    <col min="1" max="1" width="21.5" style="25" customWidth="1"/>
    <col min="2" max="2" width="26.875" style="25" bestFit="1" customWidth="1"/>
    <col min="3" max="3" width="4.875" style="26" customWidth="1"/>
    <col min="4" max="4" width="32.875" style="25" bestFit="1" customWidth="1"/>
    <col min="5" max="5" width="21.125" style="25" bestFit="1" customWidth="1"/>
    <col min="6" max="6" width="38.125" style="25" customWidth="1"/>
    <col min="7" max="16384" width="9" style="26"/>
  </cols>
  <sheetData>
    <row r="1" spans="1:8" x14ac:dyDescent="0.2">
      <c r="A1" s="24" t="s">
        <v>168</v>
      </c>
      <c r="D1" s="27" t="s">
        <v>171</v>
      </c>
    </row>
    <row r="2" spans="1:8" x14ac:dyDescent="0.2">
      <c r="A2" s="19" t="s">
        <v>0</v>
      </c>
      <c r="B2" s="19" t="s">
        <v>1</v>
      </c>
      <c r="D2" s="19" t="s">
        <v>172</v>
      </c>
      <c r="E2" s="19" t="s">
        <v>173</v>
      </c>
      <c r="F2" s="19" t="s">
        <v>174</v>
      </c>
    </row>
    <row r="3" spans="1:8" x14ac:dyDescent="0.2">
      <c r="A3" s="28" t="s">
        <v>74</v>
      </c>
      <c r="B3" s="28" t="s">
        <v>75</v>
      </c>
      <c r="D3" s="29" t="s">
        <v>176</v>
      </c>
      <c r="E3" s="29"/>
      <c r="F3" s="29"/>
      <c r="H3" s="30" t="s">
        <v>179</v>
      </c>
    </row>
    <row r="4" spans="1:8" x14ac:dyDescent="0.2">
      <c r="A4" s="28" t="s">
        <v>77</v>
      </c>
      <c r="B4" s="28" t="s">
        <v>78</v>
      </c>
      <c r="D4" s="29" t="s">
        <v>176</v>
      </c>
      <c r="E4" s="29"/>
      <c r="F4" s="29"/>
      <c r="H4" s="26" t="s">
        <v>178</v>
      </c>
    </row>
    <row r="5" spans="1:8" x14ac:dyDescent="0.2">
      <c r="A5" s="28" t="s">
        <v>79</v>
      </c>
      <c r="B5" s="28" t="s">
        <v>80</v>
      </c>
      <c r="D5" s="29" t="s">
        <v>176</v>
      </c>
      <c r="E5" s="29"/>
      <c r="F5" s="29"/>
    </row>
    <row r="6" spans="1:8" x14ac:dyDescent="0.2">
      <c r="A6" s="28" t="s">
        <v>81</v>
      </c>
      <c r="B6" s="28" t="s">
        <v>82</v>
      </c>
      <c r="D6" s="29" t="s">
        <v>176</v>
      </c>
      <c r="E6" s="29"/>
      <c r="F6" s="29"/>
    </row>
    <row r="7" spans="1:8" x14ac:dyDescent="0.2">
      <c r="A7" s="28" t="s">
        <v>83</v>
      </c>
      <c r="B7" s="28" t="s">
        <v>84</v>
      </c>
      <c r="D7" s="29" t="s">
        <v>176</v>
      </c>
      <c r="E7" s="29"/>
      <c r="F7" s="29"/>
    </row>
    <row r="8" spans="1:8" x14ac:dyDescent="0.2">
      <c r="A8" s="28" t="s">
        <v>85</v>
      </c>
      <c r="B8" s="28" t="s">
        <v>86</v>
      </c>
      <c r="D8" s="29" t="s">
        <v>176</v>
      </c>
      <c r="E8" s="29"/>
      <c r="F8" s="29"/>
    </row>
    <row r="9" spans="1:8" x14ac:dyDescent="0.2">
      <c r="A9" s="28" t="s">
        <v>87</v>
      </c>
      <c r="B9" s="28" t="s">
        <v>88</v>
      </c>
      <c r="D9" s="29" t="s">
        <v>176</v>
      </c>
      <c r="E9" s="29"/>
      <c r="F9" s="29"/>
    </row>
    <row r="10" spans="1:8" x14ac:dyDescent="0.2">
      <c r="A10" s="28" t="s">
        <v>89</v>
      </c>
      <c r="B10" s="28" t="s">
        <v>90</v>
      </c>
      <c r="D10" s="29" t="s">
        <v>176</v>
      </c>
      <c r="E10" s="29"/>
      <c r="F10" s="29"/>
    </row>
    <row r="11" spans="1:8" x14ac:dyDescent="0.2">
      <c r="A11" s="28" t="s">
        <v>91</v>
      </c>
      <c r="B11" s="28" t="s">
        <v>92</v>
      </c>
      <c r="D11" s="29" t="s">
        <v>176</v>
      </c>
      <c r="E11" s="29"/>
      <c r="F11" s="29"/>
    </row>
    <row r="12" spans="1:8" x14ac:dyDescent="0.2">
      <c r="A12" s="28" t="s">
        <v>93</v>
      </c>
      <c r="B12" s="28" t="s">
        <v>94</v>
      </c>
      <c r="D12" s="29" t="s">
        <v>176</v>
      </c>
      <c r="E12" s="29"/>
      <c r="F12" s="29"/>
    </row>
    <row r="13" spans="1:8" x14ac:dyDescent="0.2">
      <c r="A13" s="28" t="s">
        <v>95</v>
      </c>
      <c r="B13" s="28" t="s">
        <v>96</v>
      </c>
      <c r="D13" s="29" t="s">
        <v>176</v>
      </c>
      <c r="E13" s="29"/>
      <c r="F13" s="29"/>
    </row>
    <row r="14" spans="1:8" x14ac:dyDescent="0.2">
      <c r="A14" s="28" t="s">
        <v>97</v>
      </c>
      <c r="B14" s="28" t="s">
        <v>98</v>
      </c>
      <c r="D14" s="29" t="s">
        <v>176</v>
      </c>
      <c r="E14" s="29"/>
      <c r="F14" s="29"/>
    </row>
    <row r="15" spans="1:8" x14ac:dyDescent="0.2">
      <c r="A15" s="28" t="s">
        <v>99</v>
      </c>
      <c r="B15" s="28" t="s">
        <v>100</v>
      </c>
      <c r="D15" s="29" t="s">
        <v>176</v>
      </c>
      <c r="E15" s="29"/>
      <c r="F15" s="29"/>
    </row>
    <row r="16" spans="1:8" x14ac:dyDescent="0.2">
      <c r="A16" s="28" t="s">
        <v>101</v>
      </c>
      <c r="B16" s="28" t="s">
        <v>102</v>
      </c>
      <c r="D16" s="29" t="s">
        <v>176</v>
      </c>
      <c r="E16" s="29"/>
      <c r="F16" s="29"/>
    </row>
    <row r="17" spans="1:6" x14ac:dyDescent="0.2">
      <c r="A17" s="28" t="s">
        <v>104</v>
      </c>
      <c r="B17" s="28" t="s">
        <v>105</v>
      </c>
      <c r="D17" s="29" t="s">
        <v>176</v>
      </c>
      <c r="E17" s="29"/>
      <c r="F17" s="29"/>
    </row>
    <row r="18" spans="1:6" x14ac:dyDescent="0.2">
      <c r="A18" s="28" t="s">
        <v>109</v>
      </c>
      <c r="B18" s="28" t="s">
        <v>110</v>
      </c>
      <c r="D18" s="29"/>
      <c r="E18" s="29"/>
      <c r="F18" s="29"/>
    </row>
    <row r="19" spans="1:6" x14ac:dyDescent="0.2">
      <c r="A19" s="28" t="s">
        <v>111</v>
      </c>
      <c r="B19" s="28" t="s">
        <v>112</v>
      </c>
      <c r="D19" s="20" t="s">
        <v>185</v>
      </c>
      <c r="E19" s="29" t="s">
        <v>187</v>
      </c>
      <c r="F19" s="29" t="s">
        <v>186</v>
      </c>
    </row>
    <row r="20" spans="1:6" x14ac:dyDescent="0.2">
      <c r="A20" s="28" t="s">
        <v>114</v>
      </c>
      <c r="B20" s="28" t="s">
        <v>115</v>
      </c>
      <c r="D20" s="20" t="s">
        <v>185</v>
      </c>
      <c r="E20" s="29" t="s">
        <v>188</v>
      </c>
      <c r="F20" s="29" t="s">
        <v>186</v>
      </c>
    </row>
    <row r="21" spans="1:6" x14ac:dyDescent="0.2">
      <c r="A21" s="28" t="s">
        <v>116</v>
      </c>
      <c r="B21" s="28" t="s">
        <v>117</v>
      </c>
      <c r="D21" s="29" t="s">
        <v>176</v>
      </c>
      <c r="E21" s="29"/>
      <c r="F21" s="29"/>
    </row>
    <row r="22" spans="1:6" x14ac:dyDescent="0.2">
      <c r="A22" s="28" t="s">
        <v>120</v>
      </c>
      <c r="B22" s="28" t="s">
        <v>121</v>
      </c>
      <c r="D22" s="29" t="s">
        <v>176</v>
      </c>
      <c r="E22" s="29"/>
      <c r="F22" s="29"/>
    </row>
    <row r="23" spans="1:6" x14ac:dyDescent="0.2">
      <c r="A23" s="28" t="s">
        <v>123</v>
      </c>
      <c r="B23" s="31" t="s">
        <v>124</v>
      </c>
      <c r="D23" s="20"/>
      <c r="E23" s="29"/>
      <c r="F23" s="32" t="s">
        <v>190</v>
      </c>
    </row>
    <row r="24" spans="1:6" x14ac:dyDescent="0.2">
      <c r="A24" s="28" t="s">
        <v>126</v>
      </c>
      <c r="B24" s="31" t="s">
        <v>180</v>
      </c>
      <c r="D24" s="20"/>
      <c r="E24" s="29"/>
      <c r="F24" s="32" t="s">
        <v>190</v>
      </c>
    </row>
    <row r="25" spans="1:6" x14ac:dyDescent="0.2">
      <c r="A25" s="28" t="s">
        <v>129</v>
      </c>
      <c r="B25" s="28" t="s">
        <v>130</v>
      </c>
      <c r="D25" s="29" t="s">
        <v>177</v>
      </c>
      <c r="E25" s="29" t="s">
        <v>189</v>
      </c>
      <c r="F25" s="29"/>
    </row>
    <row r="26" spans="1:6" x14ac:dyDescent="0.2">
      <c r="A26" s="28" t="s">
        <v>134</v>
      </c>
      <c r="B26" s="28" t="s">
        <v>135</v>
      </c>
      <c r="D26" s="20" t="s">
        <v>298</v>
      </c>
      <c r="E26" s="29"/>
      <c r="F26" s="32"/>
    </row>
    <row r="27" spans="1:6" x14ac:dyDescent="0.2">
      <c r="A27" s="28" t="s">
        <v>137</v>
      </c>
      <c r="B27" s="28" t="s">
        <v>138</v>
      </c>
      <c r="D27" s="29" t="s">
        <v>176</v>
      </c>
      <c r="E27" s="29"/>
      <c r="F27" s="29"/>
    </row>
    <row r="28" spans="1:6" x14ac:dyDescent="0.2">
      <c r="A28" s="28" t="s">
        <v>150</v>
      </c>
      <c r="B28" s="28" t="s">
        <v>151</v>
      </c>
      <c r="D28" s="29" t="s">
        <v>176</v>
      </c>
      <c r="E28" s="29"/>
      <c r="F28" s="29"/>
    </row>
    <row r="29" spans="1:6" x14ac:dyDescent="0.2">
      <c r="A29" s="28" t="s">
        <v>155</v>
      </c>
      <c r="B29" s="28" t="s">
        <v>156</v>
      </c>
      <c r="D29" s="29" t="s">
        <v>176</v>
      </c>
      <c r="E29" s="29"/>
      <c r="F29" s="29"/>
    </row>
    <row r="30" spans="1:6" x14ac:dyDescent="0.2">
      <c r="A30" s="28" t="s">
        <v>158</v>
      </c>
      <c r="B30" s="28" t="s">
        <v>159</v>
      </c>
      <c r="D30" s="29" t="s">
        <v>176</v>
      </c>
      <c r="E30" s="29"/>
      <c r="F30" s="29"/>
    </row>
    <row r="31" spans="1:6" x14ac:dyDescent="0.2">
      <c r="A31" s="28" t="s">
        <v>164</v>
      </c>
      <c r="B31" s="28" t="s">
        <v>165</v>
      </c>
      <c r="D31" s="29" t="s">
        <v>176</v>
      </c>
      <c r="E31" s="29"/>
      <c r="F31" s="29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7FC7-60D8-4052-8377-3EF12D2E7154}">
  <sheetPr filterMode="1"/>
  <dimension ref="A1:J1048574"/>
  <sheetViews>
    <sheetView workbookViewId="0">
      <selection activeCell="J25" sqref="J25"/>
    </sheetView>
  </sheetViews>
  <sheetFormatPr defaultRowHeight="14.25" x14ac:dyDescent="0.2"/>
  <cols>
    <col min="1" max="1" width="18.875" bestFit="1" customWidth="1"/>
    <col min="2" max="2" width="2.375" bestFit="1" customWidth="1"/>
    <col min="3" max="3" width="5" bestFit="1" customWidth="1"/>
    <col min="4" max="4" width="3.25" bestFit="1" customWidth="1"/>
    <col min="5" max="5" width="2.375" bestFit="1" customWidth="1"/>
    <col min="6" max="6" width="12.25" bestFit="1" customWidth="1"/>
    <col min="7" max="7" width="27.625" bestFit="1" customWidth="1"/>
    <col min="8" max="8" width="9.625" style="22" customWidth="1"/>
    <col min="9" max="9" width="26.875" bestFit="1" customWidth="1"/>
    <col min="10" max="10" width="31.125" bestFit="1" customWidth="1"/>
  </cols>
  <sheetData>
    <row r="1" spans="1:10" x14ac:dyDescent="0.2">
      <c r="A1" s="21" t="s">
        <v>290</v>
      </c>
      <c r="B1" s="21" t="s">
        <v>291</v>
      </c>
      <c r="C1" s="21" t="s">
        <v>292</v>
      </c>
      <c r="D1" s="21" t="s">
        <v>293</v>
      </c>
      <c r="E1" s="21" t="s">
        <v>294</v>
      </c>
      <c r="F1" s="21" t="s">
        <v>295</v>
      </c>
      <c r="G1" s="21" t="s">
        <v>296</v>
      </c>
      <c r="H1" s="21" t="s">
        <v>275</v>
      </c>
    </row>
    <row r="2" spans="1:10" x14ac:dyDescent="0.2">
      <c r="A2" s="12" t="s">
        <v>3</v>
      </c>
      <c r="B2" s="3" t="s">
        <v>4</v>
      </c>
      <c r="C2" s="3" t="s">
        <v>191</v>
      </c>
      <c r="D2" s="3" t="s">
        <v>192</v>
      </c>
      <c r="E2" s="3" t="s">
        <v>193</v>
      </c>
      <c r="F2" s="3" t="s">
        <v>194</v>
      </c>
      <c r="G2" s="5" t="s">
        <v>5</v>
      </c>
      <c r="H2" s="21" t="s">
        <v>274</v>
      </c>
      <c r="I2" s="3" t="e">
        <f>VLOOKUP(G2,미제공항목!$B$3:$B$43,1,FALSE)</f>
        <v>#N/A</v>
      </c>
      <c r="J2" s="3"/>
    </row>
    <row r="3" spans="1:10" x14ac:dyDescent="0.2">
      <c r="A3" s="12" t="s">
        <v>9</v>
      </c>
      <c r="B3" s="3" t="s">
        <v>4</v>
      </c>
      <c r="C3" s="3" t="s">
        <v>195</v>
      </c>
      <c r="D3" s="3" t="s">
        <v>196</v>
      </c>
      <c r="E3" s="3" t="s">
        <v>193</v>
      </c>
      <c r="F3" s="3" t="s">
        <v>197</v>
      </c>
      <c r="G3" s="5" t="s">
        <v>10</v>
      </c>
      <c r="H3" s="21" t="s">
        <v>274</v>
      </c>
      <c r="I3" s="3" t="e">
        <f>VLOOKUP(G3,미제공항목!$B$3:$B$43,1,FALSE)</f>
        <v>#N/A</v>
      </c>
      <c r="J3" s="3"/>
    </row>
    <row r="4" spans="1:10" x14ac:dyDescent="0.2">
      <c r="A4" s="12" t="s">
        <v>12</v>
      </c>
      <c r="B4" s="3" t="s">
        <v>4</v>
      </c>
      <c r="C4" s="3" t="s">
        <v>198</v>
      </c>
      <c r="D4" s="3" t="s">
        <v>199</v>
      </c>
      <c r="E4" s="3" t="s">
        <v>193</v>
      </c>
      <c r="F4" s="3" t="s">
        <v>200</v>
      </c>
      <c r="G4" s="7" t="s">
        <v>13</v>
      </c>
      <c r="H4" s="21" t="s">
        <v>274</v>
      </c>
      <c r="I4" s="3" t="e">
        <f>VLOOKUP(G4,미제공항목!$B$3:$B$43,1,FALSE)</f>
        <v>#N/A</v>
      </c>
      <c r="J4" s="3"/>
    </row>
    <row r="5" spans="1:10" x14ac:dyDescent="0.2">
      <c r="A5" s="12" t="s">
        <v>15</v>
      </c>
      <c r="B5" s="3" t="s">
        <v>4</v>
      </c>
      <c r="C5" s="3" t="s">
        <v>201</v>
      </c>
      <c r="D5" s="3" t="s">
        <v>202</v>
      </c>
      <c r="E5" s="3" t="s">
        <v>193</v>
      </c>
      <c r="F5" s="3" t="s">
        <v>203</v>
      </c>
      <c r="G5" s="3" t="s">
        <v>16</v>
      </c>
      <c r="H5" s="21" t="s">
        <v>274</v>
      </c>
      <c r="I5" s="3" t="e">
        <f>VLOOKUP(G5,미제공항목!$B$3:$B$43,1,FALSE)</f>
        <v>#N/A</v>
      </c>
      <c r="J5" s="3"/>
    </row>
    <row r="6" spans="1:10" hidden="1" x14ac:dyDescent="0.2">
      <c r="A6" s="12" t="s">
        <v>18</v>
      </c>
      <c r="B6" s="3" t="s">
        <v>4</v>
      </c>
      <c r="C6" s="3" t="s">
        <v>204</v>
      </c>
      <c r="D6" s="3" t="s">
        <v>205</v>
      </c>
      <c r="E6" s="3" t="s">
        <v>193</v>
      </c>
      <c r="F6" s="3" t="s">
        <v>206</v>
      </c>
      <c r="G6" s="7" t="s">
        <v>19</v>
      </c>
      <c r="H6" s="21"/>
      <c r="I6" s="3" t="e">
        <f>VLOOKUP(G6,미제공항목!$B$3:$B$43,1,FALSE)</f>
        <v>#N/A</v>
      </c>
      <c r="J6" s="3"/>
    </row>
    <row r="7" spans="1:10" x14ac:dyDescent="0.2">
      <c r="A7" s="12" t="s">
        <v>21</v>
      </c>
      <c r="B7" s="3" t="s">
        <v>4</v>
      </c>
      <c r="C7" s="3" t="s">
        <v>207</v>
      </c>
      <c r="D7" s="3" t="s">
        <v>205</v>
      </c>
      <c r="E7" s="3" t="s">
        <v>193</v>
      </c>
      <c r="F7" s="3" t="s">
        <v>206</v>
      </c>
      <c r="G7" s="7" t="s">
        <v>22</v>
      </c>
      <c r="H7" s="21" t="s">
        <v>274</v>
      </c>
      <c r="I7" s="3" t="e">
        <f>VLOOKUP(G7,미제공항목!$B$3:$B$43,1,FALSE)</f>
        <v>#N/A</v>
      </c>
      <c r="J7" s="3"/>
    </row>
    <row r="8" spans="1:10" x14ac:dyDescent="0.2">
      <c r="A8" s="12" t="s">
        <v>24</v>
      </c>
      <c r="B8" s="3" t="s">
        <v>4</v>
      </c>
      <c r="C8" s="3" t="s">
        <v>208</v>
      </c>
      <c r="D8" s="3" t="s">
        <v>209</v>
      </c>
      <c r="E8" s="3" t="s">
        <v>193</v>
      </c>
      <c r="F8" s="3" t="s">
        <v>209</v>
      </c>
      <c r="G8" s="3" t="s">
        <v>25</v>
      </c>
      <c r="H8" s="21" t="s">
        <v>274</v>
      </c>
      <c r="I8" s="3" t="e">
        <f>VLOOKUP(G8,미제공항목!$B$3:$B$43,1,FALSE)</f>
        <v>#N/A</v>
      </c>
      <c r="J8" s="3"/>
    </row>
    <row r="9" spans="1:10" x14ac:dyDescent="0.2">
      <c r="A9" s="12" t="s">
        <v>27</v>
      </c>
      <c r="B9" s="3" t="s">
        <v>4</v>
      </c>
      <c r="C9" s="3" t="s">
        <v>210</v>
      </c>
      <c r="D9" s="3" t="s">
        <v>202</v>
      </c>
      <c r="E9" s="3" t="s">
        <v>193</v>
      </c>
      <c r="F9" s="3" t="s">
        <v>211</v>
      </c>
      <c r="G9" s="3" t="s">
        <v>28</v>
      </c>
      <c r="H9" s="21" t="s">
        <v>274</v>
      </c>
      <c r="I9" s="3" t="e">
        <f>VLOOKUP(G9,미제공항목!$B$3:$B$43,1,FALSE)</f>
        <v>#N/A</v>
      </c>
      <c r="J9" s="3"/>
    </row>
    <row r="10" spans="1:10" x14ac:dyDescent="0.2">
      <c r="A10" s="3" t="s">
        <v>30</v>
      </c>
      <c r="B10" s="3" t="s">
        <v>4</v>
      </c>
      <c r="C10" s="3" t="s">
        <v>212</v>
      </c>
      <c r="D10" s="3" t="s">
        <v>209</v>
      </c>
      <c r="E10" s="3" t="s">
        <v>193</v>
      </c>
      <c r="F10" s="3" t="s">
        <v>209</v>
      </c>
      <c r="G10" s="3" t="s">
        <v>31</v>
      </c>
      <c r="H10" s="21" t="s">
        <v>274</v>
      </c>
      <c r="I10" s="3" t="e">
        <f>VLOOKUP(G10,미제공항목!$B$3:$B$43,1,FALSE)</f>
        <v>#N/A</v>
      </c>
      <c r="J10" s="3" t="s">
        <v>276</v>
      </c>
    </row>
    <row r="11" spans="1:10" x14ac:dyDescent="0.2">
      <c r="A11" s="12" t="s">
        <v>35</v>
      </c>
      <c r="B11" s="3" t="s">
        <v>4</v>
      </c>
      <c r="C11" s="3" t="s">
        <v>213</v>
      </c>
      <c r="D11" s="3" t="s">
        <v>202</v>
      </c>
      <c r="E11" s="3" t="s">
        <v>193</v>
      </c>
      <c r="F11" s="3" t="s">
        <v>203</v>
      </c>
      <c r="G11" s="3" t="s">
        <v>36</v>
      </c>
      <c r="H11" s="21" t="s">
        <v>274</v>
      </c>
      <c r="I11" s="3" t="e">
        <f>VLOOKUP(G11,미제공항목!$B$3:$B$43,1,FALSE)</f>
        <v>#N/A</v>
      </c>
      <c r="J11" s="3"/>
    </row>
    <row r="12" spans="1:10" x14ac:dyDescent="0.2">
      <c r="A12" s="3" t="s">
        <v>38</v>
      </c>
      <c r="B12" s="3" t="s">
        <v>4</v>
      </c>
      <c r="C12" s="3" t="s">
        <v>214</v>
      </c>
      <c r="D12" s="3" t="s">
        <v>202</v>
      </c>
      <c r="E12" s="3" t="s">
        <v>193</v>
      </c>
      <c r="F12" s="3" t="s">
        <v>215</v>
      </c>
      <c r="G12" s="3" t="s">
        <v>39</v>
      </c>
      <c r="H12" s="21" t="s">
        <v>274</v>
      </c>
      <c r="I12" s="3" t="e">
        <f>VLOOKUP(G12,미제공항목!$B$3:$B$43,1,FALSE)</f>
        <v>#N/A</v>
      </c>
      <c r="J12" s="3" t="s">
        <v>277</v>
      </c>
    </row>
    <row r="13" spans="1:10" x14ac:dyDescent="0.2">
      <c r="A13" s="3" t="s">
        <v>41</v>
      </c>
      <c r="B13" s="3" t="s">
        <v>4</v>
      </c>
      <c r="C13" s="3" t="s">
        <v>216</v>
      </c>
      <c r="D13" s="3" t="s">
        <v>202</v>
      </c>
      <c r="E13" s="3" t="s">
        <v>193</v>
      </c>
      <c r="F13" s="3" t="s">
        <v>215</v>
      </c>
      <c r="G13" s="3" t="s">
        <v>42</v>
      </c>
      <c r="H13" s="21" t="s">
        <v>274</v>
      </c>
      <c r="I13" s="3" t="e">
        <f>VLOOKUP(G13,미제공항목!$B$3:$B$43,1,FALSE)</f>
        <v>#N/A</v>
      </c>
      <c r="J13" s="3" t="s">
        <v>278</v>
      </c>
    </row>
    <row r="14" spans="1:10" x14ac:dyDescent="0.2">
      <c r="A14" s="3" t="s">
        <v>44</v>
      </c>
      <c r="B14" s="3" t="s">
        <v>4</v>
      </c>
      <c r="C14" s="3" t="s">
        <v>217</v>
      </c>
      <c r="D14" s="3" t="s">
        <v>209</v>
      </c>
      <c r="E14" s="3" t="s">
        <v>193</v>
      </c>
      <c r="F14" s="3" t="s">
        <v>193</v>
      </c>
      <c r="G14" s="3" t="s">
        <v>45</v>
      </c>
      <c r="H14" s="21" t="s">
        <v>274</v>
      </c>
      <c r="I14" s="3" t="e">
        <f>VLOOKUP(G14,미제공항목!$B$3:$B$43,1,FALSE)</f>
        <v>#N/A</v>
      </c>
      <c r="J14" s="3" t="s">
        <v>279</v>
      </c>
    </row>
    <row r="15" spans="1:10" x14ac:dyDescent="0.2">
      <c r="A15" s="12" t="s">
        <v>47</v>
      </c>
      <c r="B15" s="3" t="s">
        <v>4</v>
      </c>
      <c r="C15" s="3" t="s">
        <v>218</v>
      </c>
      <c r="D15" s="3" t="s">
        <v>209</v>
      </c>
      <c r="E15" s="3" t="s">
        <v>193</v>
      </c>
      <c r="F15" s="3" t="s">
        <v>193</v>
      </c>
      <c r="G15" s="3" t="s">
        <v>48</v>
      </c>
      <c r="H15" s="21" t="s">
        <v>274</v>
      </c>
      <c r="I15" s="3" t="e">
        <f>VLOOKUP(G15,미제공항목!$B$3:$B$43,1,FALSE)</f>
        <v>#N/A</v>
      </c>
      <c r="J15" s="3"/>
    </row>
    <row r="16" spans="1:10" x14ac:dyDescent="0.2">
      <c r="A16" s="3" t="s">
        <v>50</v>
      </c>
      <c r="B16" s="3" t="s">
        <v>4</v>
      </c>
      <c r="C16" s="3" t="s">
        <v>219</v>
      </c>
      <c r="D16" s="3" t="s">
        <v>209</v>
      </c>
      <c r="E16" s="3" t="s">
        <v>193</v>
      </c>
      <c r="F16" s="3" t="s">
        <v>209</v>
      </c>
      <c r="G16" s="3" t="s">
        <v>51</v>
      </c>
      <c r="H16" s="21" t="s">
        <v>274</v>
      </c>
      <c r="I16" s="3" t="e">
        <f>VLOOKUP(G16,미제공항목!$B$3:$B$43,1,FALSE)</f>
        <v>#N/A</v>
      </c>
      <c r="J16" s="3" t="s">
        <v>280</v>
      </c>
    </row>
    <row r="17" spans="1:10" x14ac:dyDescent="0.2">
      <c r="A17" s="3" t="s">
        <v>54</v>
      </c>
      <c r="B17" s="3" t="s">
        <v>4</v>
      </c>
      <c r="C17" s="3" t="s">
        <v>220</v>
      </c>
      <c r="D17" s="3" t="s">
        <v>196</v>
      </c>
      <c r="E17" s="3" t="s">
        <v>193</v>
      </c>
      <c r="F17" s="3" t="s">
        <v>221</v>
      </c>
      <c r="G17" s="3" t="s">
        <v>55</v>
      </c>
      <c r="H17" s="21" t="s">
        <v>274</v>
      </c>
      <c r="I17" s="3" t="e">
        <f>VLOOKUP(G17,미제공항목!$B$3:$B$43,1,FALSE)</f>
        <v>#N/A</v>
      </c>
      <c r="J17" s="3" t="s">
        <v>281</v>
      </c>
    </row>
    <row r="18" spans="1:10" x14ac:dyDescent="0.2">
      <c r="A18" s="3" t="s">
        <v>57</v>
      </c>
      <c r="B18" s="3" t="s">
        <v>4</v>
      </c>
      <c r="C18" s="3" t="s">
        <v>222</v>
      </c>
      <c r="D18" s="3" t="s">
        <v>202</v>
      </c>
      <c r="E18" s="3" t="s">
        <v>193</v>
      </c>
      <c r="F18" s="3" t="s">
        <v>223</v>
      </c>
      <c r="G18" s="3" t="s">
        <v>58</v>
      </c>
      <c r="H18" s="21" t="s">
        <v>274</v>
      </c>
      <c r="I18" s="3" t="e">
        <f>VLOOKUP(G18,미제공항목!$B$3:$B$43,1,FALSE)</f>
        <v>#N/A</v>
      </c>
      <c r="J18" s="3" t="s">
        <v>282</v>
      </c>
    </row>
    <row r="19" spans="1:10" x14ac:dyDescent="0.2">
      <c r="A19" s="12" t="s">
        <v>60</v>
      </c>
      <c r="B19" s="3" t="s">
        <v>4</v>
      </c>
      <c r="C19" s="3" t="s">
        <v>224</v>
      </c>
      <c r="D19" s="3" t="s">
        <v>209</v>
      </c>
      <c r="E19" s="3" t="s">
        <v>193</v>
      </c>
      <c r="F19" s="3" t="s">
        <v>209</v>
      </c>
      <c r="G19" s="3" t="s">
        <v>61</v>
      </c>
      <c r="H19" s="21" t="s">
        <v>274</v>
      </c>
      <c r="I19" s="3" t="e">
        <f>VLOOKUP(G19,미제공항목!$B$3:$B$43,1,FALSE)</f>
        <v>#N/A</v>
      </c>
      <c r="J19" s="3"/>
    </row>
    <row r="20" spans="1:10" x14ac:dyDescent="0.2">
      <c r="A20" s="3" t="s">
        <v>63</v>
      </c>
      <c r="B20" s="3" t="s">
        <v>4</v>
      </c>
      <c r="C20" s="3" t="s">
        <v>225</v>
      </c>
      <c r="D20" s="3" t="s">
        <v>226</v>
      </c>
      <c r="E20" s="3" t="s">
        <v>193</v>
      </c>
      <c r="F20" s="3" t="s">
        <v>227</v>
      </c>
      <c r="G20" s="3" t="s">
        <v>64</v>
      </c>
      <c r="H20" s="21" t="s">
        <v>274</v>
      </c>
      <c r="I20" s="3" t="e">
        <f>VLOOKUP(G20,미제공항목!$B$3:$B$43,1,FALSE)</f>
        <v>#N/A</v>
      </c>
      <c r="J20" s="3" t="s">
        <v>283</v>
      </c>
    </row>
    <row r="21" spans="1:10" x14ac:dyDescent="0.2">
      <c r="A21" s="3" t="s">
        <v>66</v>
      </c>
      <c r="B21" s="3" t="s">
        <v>4</v>
      </c>
      <c r="C21" s="3" t="s">
        <v>228</v>
      </c>
      <c r="D21" s="3" t="s">
        <v>229</v>
      </c>
      <c r="E21" s="3" t="s">
        <v>193</v>
      </c>
      <c r="F21" s="3" t="s">
        <v>230</v>
      </c>
      <c r="G21" s="3" t="s">
        <v>67</v>
      </c>
      <c r="H21" s="21" t="s">
        <v>274</v>
      </c>
      <c r="I21" s="3" t="e">
        <f>VLOOKUP(G21,미제공항목!$B$3:$B$43,1,FALSE)</f>
        <v>#N/A</v>
      </c>
      <c r="J21" s="3" t="s">
        <v>283</v>
      </c>
    </row>
    <row r="22" spans="1:10" x14ac:dyDescent="0.2">
      <c r="A22" s="3" t="s">
        <v>68</v>
      </c>
      <c r="B22" s="3" t="s">
        <v>4</v>
      </c>
      <c r="C22" s="3" t="s">
        <v>231</v>
      </c>
      <c r="D22" s="3" t="s">
        <v>209</v>
      </c>
      <c r="E22" s="3" t="s">
        <v>193</v>
      </c>
      <c r="F22" s="3" t="s">
        <v>209</v>
      </c>
      <c r="G22" s="3" t="s">
        <v>69</v>
      </c>
      <c r="H22" s="21" t="s">
        <v>274</v>
      </c>
      <c r="I22" s="3" t="e">
        <f>VLOOKUP(G22,미제공항목!$B$3:$B$43,1,FALSE)</f>
        <v>#N/A</v>
      </c>
      <c r="J22" s="3"/>
    </row>
    <row r="23" spans="1:10" x14ac:dyDescent="0.2">
      <c r="A23" s="3" t="s">
        <v>71</v>
      </c>
      <c r="B23" s="3" t="s">
        <v>4</v>
      </c>
      <c r="C23" s="3" t="s">
        <v>232</v>
      </c>
      <c r="D23" s="3" t="s">
        <v>209</v>
      </c>
      <c r="E23" s="3" t="s">
        <v>193</v>
      </c>
      <c r="F23" s="3" t="s">
        <v>196</v>
      </c>
      <c r="G23" s="3" t="s">
        <v>72</v>
      </c>
      <c r="H23" s="21" t="s">
        <v>274</v>
      </c>
      <c r="I23" s="3" t="e">
        <f>VLOOKUP(G23,미제공항목!$B$3:$B$43,1,FALSE)</f>
        <v>#N/A</v>
      </c>
      <c r="J23" s="3" t="s">
        <v>284</v>
      </c>
    </row>
    <row r="24" spans="1:10" hidden="1" x14ac:dyDescent="0.2">
      <c r="A24" s="3" t="s">
        <v>74</v>
      </c>
      <c r="B24" s="3" t="s">
        <v>4</v>
      </c>
      <c r="C24" s="3" t="s">
        <v>233</v>
      </c>
      <c r="D24" s="3" t="s">
        <v>211</v>
      </c>
      <c r="E24" s="3" t="s">
        <v>193</v>
      </c>
      <c r="F24" s="3" t="s">
        <v>234</v>
      </c>
      <c r="G24" s="3" t="s">
        <v>75</v>
      </c>
      <c r="H24" s="21"/>
      <c r="I24" s="3" t="str">
        <f>VLOOKUP(G24,미제공항목!$B$3:$B$43,1,FALSE)</f>
        <v>AACOM-FM-ID</v>
      </c>
      <c r="J24" s="3"/>
    </row>
    <row r="25" spans="1:10" x14ac:dyDescent="0.2">
      <c r="A25" s="3" t="s">
        <v>77</v>
      </c>
      <c r="B25" s="3" t="s">
        <v>4</v>
      </c>
      <c r="C25" s="3" t="s">
        <v>235</v>
      </c>
      <c r="D25" s="3" t="s">
        <v>236</v>
      </c>
      <c r="E25" s="3" t="s">
        <v>193</v>
      </c>
      <c r="F25" s="3" t="s">
        <v>237</v>
      </c>
      <c r="G25" s="3" t="s">
        <v>78</v>
      </c>
      <c r="H25" s="21" t="s">
        <v>274</v>
      </c>
      <c r="I25" s="3" t="str">
        <f>VLOOKUP(G25,미제공항목!$B$3:$B$43,1,FALSE)</f>
        <v>AACOM-CARD-GRD-DSTCD1</v>
      </c>
      <c r="J25" s="3" t="s">
        <v>286</v>
      </c>
    </row>
    <row r="26" spans="1:10" x14ac:dyDescent="0.2">
      <c r="A26" s="3" t="s">
        <v>79</v>
      </c>
      <c r="B26" s="3" t="s">
        <v>4</v>
      </c>
      <c r="C26" s="3" t="s">
        <v>238</v>
      </c>
      <c r="D26" s="3" t="s">
        <v>236</v>
      </c>
      <c r="E26" s="3" t="s">
        <v>193</v>
      </c>
      <c r="F26" s="3" t="s">
        <v>237</v>
      </c>
      <c r="G26" s="3" t="s">
        <v>80</v>
      </c>
      <c r="H26" s="21" t="s">
        <v>274</v>
      </c>
      <c r="I26" s="3" t="str">
        <f>VLOOKUP(G26,미제공항목!$B$3:$B$43,1,FALSE)</f>
        <v>AACOM-CARD-GRD-DSTCD2</v>
      </c>
      <c r="J26" s="3" t="s">
        <v>285</v>
      </c>
    </row>
    <row r="27" spans="1:10" x14ac:dyDescent="0.2">
      <c r="A27" s="3" t="s">
        <v>81</v>
      </c>
      <c r="B27" s="3" t="s">
        <v>4</v>
      </c>
      <c r="C27" s="3" t="s">
        <v>239</v>
      </c>
      <c r="D27" s="3" t="s">
        <v>236</v>
      </c>
      <c r="E27" s="3" t="s">
        <v>193</v>
      </c>
      <c r="F27" s="3" t="s">
        <v>237</v>
      </c>
      <c r="G27" s="3" t="s">
        <v>82</v>
      </c>
      <c r="H27" s="21" t="s">
        <v>274</v>
      </c>
      <c r="I27" s="3" t="str">
        <f>VLOOKUP(G27,미제공항목!$B$3:$B$43,1,FALSE)</f>
        <v>AACOM-CARD-GRD-DSTCD3</v>
      </c>
      <c r="J27" s="3" t="s">
        <v>285</v>
      </c>
    </row>
    <row r="28" spans="1:10" hidden="1" x14ac:dyDescent="0.2">
      <c r="A28" s="3" t="s">
        <v>83</v>
      </c>
      <c r="B28" s="3" t="s">
        <v>4</v>
      </c>
      <c r="C28" s="3" t="s">
        <v>240</v>
      </c>
      <c r="D28" s="3" t="s">
        <v>236</v>
      </c>
      <c r="E28" s="3" t="s">
        <v>193</v>
      </c>
      <c r="F28" s="3" t="s">
        <v>237</v>
      </c>
      <c r="G28" s="3" t="s">
        <v>84</v>
      </c>
      <c r="H28" s="21"/>
      <c r="I28" s="3" t="str">
        <f>VLOOKUP(G28,미제공항목!$B$3:$B$43,1,FALSE)</f>
        <v>AACOM-EMBG-I-DSTIC-CD01</v>
      </c>
      <c r="J28" s="3"/>
    </row>
    <row r="29" spans="1:10" hidden="1" x14ac:dyDescent="0.2">
      <c r="A29" s="3" t="s">
        <v>85</v>
      </c>
      <c r="B29" s="3" t="s">
        <v>4</v>
      </c>
      <c r="C29" s="3" t="s">
        <v>241</v>
      </c>
      <c r="D29" s="3" t="s">
        <v>236</v>
      </c>
      <c r="E29" s="3" t="s">
        <v>193</v>
      </c>
      <c r="F29" s="3" t="s">
        <v>237</v>
      </c>
      <c r="G29" s="3" t="s">
        <v>86</v>
      </c>
      <c r="H29" s="21"/>
      <c r="I29" s="3" t="str">
        <f>VLOOKUP(G29,미제공항목!$B$3:$B$43,1,FALSE)</f>
        <v>AACOM-EMBG-I-DSTIC-CD02</v>
      </c>
    </row>
    <row r="30" spans="1:10" hidden="1" x14ac:dyDescent="0.2">
      <c r="A30" s="3" t="s">
        <v>87</v>
      </c>
      <c r="B30" s="3" t="s">
        <v>4</v>
      </c>
      <c r="C30" s="3" t="s">
        <v>242</v>
      </c>
      <c r="D30" s="3" t="s">
        <v>236</v>
      </c>
      <c r="E30" s="3" t="s">
        <v>193</v>
      </c>
      <c r="F30" s="3" t="s">
        <v>237</v>
      </c>
      <c r="G30" s="3" t="s">
        <v>88</v>
      </c>
      <c r="H30" s="21"/>
      <c r="I30" s="3" t="str">
        <f>VLOOKUP(G30,미제공항목!$B$3:$B$43,1,FALSE)</f>
        <v>AACOM-EMBG-I-DSTIC-CD03</v>
      </c>
    </row>
    <row r="31" spans="1:10" hidden="1" x14ac:dyDescent="0.2">
      <c r="A31" s="3" t="s">
        <v>89</v>
      </c>
      <c r="B31" s="3" t="s">
        <v>4</v>
      </c>
      <c r="C31" s="3" t="s">
        <v>243</v>
      </c>
      <c r="D31" s="3" t="s">
        <v>236</v>
      </c>
      <c r="E31" s="3" t="s">
        <v>193</v>
      </c>
      <c r="F31" s="3" t="s">
        <v>237</v>
      </c>
      <c r="G31" s="3" t="s">
        <v>90</v>
      </c>
      <c r="H31" s="21"/>
      <c r="I31" s="3" t="str">
        <f>VLOOKUP(G31,미제공항목!$B$3:$B$43,1,FALSE)</f>
        <v>AACOM-EMBG-I-DSTIC-CD04</v>
      </c>
    </row>
    <row r="32" spans="1:10" hidden="1" x14ac:dyDescent="0.2">
      <c r="A32" s="3" t="s">
        <v>91</v>
      </c>
      <c r="B32" s="3" t="s">
        <v>4</v>
      </c>
      <c r="C32" s="3" t="s">
        <v>244</v>
      </c>
      <c r="D32" s="3" t="s">
        <v>236</v>
      </c>
      <c r="E32" s="3" t="s">
        <v>193</v>
      </c>
      <c r="F32" s="3" t="s">
        <v>237</v>
      </c>
      <c r="G32" s="3" t="s">
        <v>92</v>
      </c>
      <c r="H32" s="21"/>
      <c r="I32" s="3" t="str">
        <f>VLOOKUP(G32,미제공항목!$B$3:$B$43,1,FALSE)</f>
        <v>AACOM-EMBG-I-DSTIC-CD05</v>
      </c>
    </row>
    <row r="33" spans="1:10" hidden="1" x14ac:dyDescent="0.2">
      <c r="A33" s="3" t="s">
        <v>93</v>
      </c>
      <c r="B33" s="3" t="s">
        <v>4</v>
      </c>
      <c r="C33" s="3" t="s">
        <v>245</v>
      </c>
      <c r="D33" s="3" t="s">
        <v>236</v>
      </c>
      <c r="E33" s="3" t="s">
        <v>193</v>
      </c>
      <c r="F33" s="3" t="s">
        <v>237</v>
      </c>
      <c r="G33" s="3" t="s">
        <v>94</v>
      </c>
      <c r="H33" s="21"/>
      <c r="I33" s="3" t="str">
        <f>VLOOKUP(G33,미제공항목!$B$3:$B$43,1,FALSE)</f>
        <v>AACOM-EMBG-I-DSTIC-CD06</v>
      </c>
    </row>
    <row r="34" spans="1:10" hidden="1" x14ac:dyDescent="0.2">
      <c r="A34" s="3" t="s">
        <v>95</v>
      </c>
      <c r="B34" s="3" t="s">
        <v>4</v>
      </c>
      <c r="C34" s="3" t="s">
        <v>246</v>
      </c>
      <c r="D34" s="3" t="s">
        <v>236</v>
      </c>
      <c r="E34" s="3" t="s">
        <v>193</v>
      </c>
      <c r="F34" s="3" t="s">
        <v>237</v>
      </c>
      <c r="G34" s="3" t="s">
        <v>96</v>
      </c>
      <c r="H34" s="21"/>
      <c r="I34" s="3" t="str">
        <f>VLOOKUP(G34,미제공항목!$B$3:$B$43,1,FALSE)</f>
        <v>AACOM-EMBG-I-DSTIC-CD07</v>
      </c>
    </row>
    <row r="35" spans="1:10" hidden="1" x14ac:dyDescent="0.2">
      <c r="A35" s="3" t="s">
        <v>97</v>
      </c>
      <c r="B35" s="3" t="s">
        <v>4</v>
      </c>
      <c r="C35" s="3" t="s">
        <v>247</v>
      </c>
      <c r="D35" s="3" t="s">
        <v>236</v>
      </c>
      <c r="E35" s="3" t="s">
        <v>193</v>
      </c>
      <c r="F35" s="3" t="s">
        <v>237</v>
      </c>
      <c r="G35" s="3" t="s">
        <v>98</v>
      </c>
      <c r="H35" s="21"/>
      <c r="I35" s="3" t="str">
        <f>VLOOKUP(G35,미제공항목!$B$3:$B$43,1,FALSE)</f>
        <v>AACOM-EMBG-I-DSTIC-CD08</v>
      </c>
    </row>
    <row r="36" spans="1:10" hidden="1" x14ac:dyDescent="0.2">
      <c r="A36" s="3" t="s">
        <v>99</v>
      </c>
      <c r="B36" s="3" t="s">
        <v>4</v>
      </c>
      <c r="C36" s="3" t="s">
        <v>248</v>
      </c>
      <c r="D36" s="3" t="s">
        <v>236</v>
      </c>
      <c r="E36" s="3" t="s">
        <v>193</v>
      </c>
      <c r="F36" s="3" t="s">
        <v>237</v>
      </c>
      <c r="G36" s="3" t="s">
        <v>100</v>
      </c>
      <c r="H36" s="21"/>
      <c r="I36" s="3" t="str">
        <f>VLOOKUP(G36,미제공항목!$B$3:$B$43,1,FALSE)</f>
        <v>AACOM-EMBG-I-DSTIC-CD</v>
      </c>
    </row>
    <row r="37" spans="1:10" hidden="1" x14ac:dyDescent="0.2">
      <c r="A37" s="3" t="s">
        <v>101</v>
      </c>
      <c r="B37" s="3" t="s">
        <v>4</v>
      </c>
      <c r="C37" s="3" t="s">
        <v>249</v>
      </c>
      <c r="D37" s="3" t="s">
        <v>236</v>
      </c>
      <c r="E37" s="3" t="s">
        <v>193</v>
      </c>
      <c r="F37" s="3" t="s">
        <v>237</v>
      </c>
      <c r="G37" s="3" t="s">
        <v>102</v>
      </c>
      <c r="H37" s="21"/>
      <c r="I37" s="3" t="str">
        <f>VLOOKUP(G37,미제공항목!$B$3:$B$43,1,FALSE)</f>
        <v>AACOM-EMBG-I-DSTIC-CD10</v>
      </c>
    </row>
    <row r="38" spans="1:10" hidden="1" x14ac:dyDescent="0.2">
      <c r="A38" s="3" t="s">
        <v>104</v>
      </c>
      <c r="B38" s="3" t="s">
        <v>4</v>
      </c>
      <c r="C38" s="3" t="s">
        <v>250</v>
      </c>
      <c r="D38" s="3" t="s">
        <v>226</v>
      </c>
      <c r="E38" s="3" t="s">
        <v>193</v>
      </c>
      <c r="F38" s="3" t="s">
        <v>237</v>
      </c>
      <c r="G38" s="3" t="s">
        <v>105</v>
      </c>
      <c r="H38" s="21"/>
      <c r="I38" s="3" t="str">
        <f>VLOOKUP(G38,미제공항목!$B$3:$B$43,1,FALSE)</f>
        <v>AACOM-ADED-MSG-CD</v>
      </c>
    </row>
    <row r="39" spans="1:10" x14ac:dyDescent="0.2">
      <c r="A39" s="3" t="s">
        <v>106</v>
      </c>
      <c r="B39" s="3" t="s">
        <v>4</v>
      </c>
      <c r="C39" s="3" t="s">
        <v>251</v>
      </c>
      <c r="D39" s="3" t="s">
        <v>192</v>
      </c>
      <c r="E39" s="3" t="s">
        <v>193</v>
      </c>
      <c r="F39" s="3" t="s">
        <v>237</v>
      </c>
      <c r="G39" s="3" t="s">
        <v>107</v>
      </c>
      <c r="H39" s="21" t="s">
        <v>274</v>
      </c>
      <c r="I39" s="3" t="e">
        <f>VLOOKUP(G39,미제공항목!$B$3:$B$43,1,FALSE)</f>
        <v>#N/A</v>
      </c>
      <c r="J39" s="3" t="s">
        <v>287</v>
      </c>
    </row>
    <row r="40" spans="1:10" hidden="1" x14ac:dyDescent="0.2">
      <c r="A40" s="3" t="s">
        <v>109</v>
      </c>
      <c r="B40" s="3" t="s">
        <v>4</v>
      </c>
      <c r="C40" s="3" t="s">
        <v>252</v>
      </c>
      <c r="D40" s="3" t="s">
        <v>209</v>
      </c>
      <c r="E40" s="3" t="s">
        <v>193</v>
      </c>
      <c r="F40" s="3" t="s">
        <v>209</v>
      </c>
      <c r="G40" s="3" t="s">
        <v>110</v>
      </c>
      <c r="H40" s="21"/>
      <c r="I40" s="3" t="str">
        <f>VLOOKUP(G40,미제공항목!$B$3:$B$43,1,FALSE)</f>
        <v>AACOM-ALMI-REPSNT-YN</v>
      </c>
      <c r="J40" s="3"/>
    </row>
    <row r="41" spans="1:10" hidden="1" x14ac:dyDescent="0.2">
      <c r="A41" s="3" t="s">
        <v>111</v>
      </c>
      <c r="B41" s="3" t="s">
        <v>4</v>
      </c>
      <c r="C41" s="3" t="s">
        <v>253</v>
      </c>
      <c r="D41" s="3" t="s">
        <v>209</v>
      </c>
      <c r="E41" s="3" t="s">
        <v>193</v>
      </c>
      <c r="F41" s="3" t="s">
        <v>237</v>
      </c>
      <c r="G41" s="3" t="s">
        <v>112</v>
      </c>
      <c r="H41" s="21"/>
      <c r="I41" s="3" t="str">
        <f>VLOOKUP(G41,미제공항목!$B$3:$B$43,1,FALSE)</f>
        <v>AACOM-CORP-SCAL-DSTCD</v>
      </c>
      <c r="J41" s="3"/>
    </row>
    <row r="42" spans="1:10" hidden="1" x14ac:dyDescent="0.2">
      <c r="A42" s="3" t="s">
        <v>114</v>
      </c>
      <c r="B42" s="3" t="s">
        <v>4</v>
      </c>
      <c r="C42" s="3" t="s">
        <v>254</v>
      </c>
      <c r="D42" s="3" t="s">
        <v>196</v>
      </c>
      <c r="E42" s="3" t="s">
        <v>193</v>
      </c>
      <c r="F42" s="3" t="s">
        <v>237</v>
      </c>
      <c r="G42" s="3" t="s">
        <v>115</v>
      </c>
      <c r="H42" s="21"/>
      <c r="I42" s="3" t="str">
        <f>VLOOKUP(G42,미제공항목!$B$3:$B$43,1,FALSE)</f>
        <v>AACOM-STND-I-CLSFI-CD</v>
      </c>
      <c r="J42" s="3"/>
    </row>
    <row r="43" spans="1:10" hidden="1" x14ac:dyDescent="0.2">
      <c r="A43" s="3" t="s">
        <v>116</v>
      </c>
      <c r="B43" s="3" t="s">
        <v>4</v>
      </c>
      <c r="C43" s="3" t="s">
        <v>255</v>
      </c>
      <c r="D43" s="3" t="s">
        <v>209</v>
      </c>
      <c r="E43" s="3" t="s">
        <v>193</v>
      </c>
      <c r="F43" s="3" t="s">
        <v>237</v>
      </c>
      <c r="G43" s="3" t="s">
        <v>117</v>
      </c>
      <c r="H43" s="21"/>
      <c r="I43" s="3" t="str">
        <f>VLOOKUP(G43,미제공항목!$B$3:$B$43,1,FALSE)</f>
        <v>AACOM-PPSN-B-JNT-RPSNT-YN</v>
      </c>
      <c r="J43" s="3"/>
    </row>
    <row r="44" spans="1:10" hidden="1" x14ac:dyDescent="0.2">
      <c r="A44" s="3" t="s">
        <v>120</v>
      </c>
      <c r="B44" s="3" t="s">
        <v>4</v>
      </c>
      <c r="C44" s="3" t="s">
        <v>256</v>
      </c>
      <c r="D44" s="3" t="s">
        <v>209</v>
      </c>
      <c r="E44" s="3" t="s">
        <v>193</v>
      </c>
      <c r="F44" s="3" t="s">
        <v>193</v>
      </c>
      <c r="G44" s="3" t="s">
        <v>121</v>
      </c>
      <c r="H44" s="21"/>
      <c r="I44" s="3" t="str">
        <f>VLOOKUP(G44,미제공항목!$B$3:$B$43,1,FALSE)</f>
        <v>AACOM-GRD-GUID-REJCN-YN</v>
      </c>
      <c r="J44" s="3"/>
    </row>
    <row r="45" spans="1:10" hidden="1" x14ac:dyDescent="0.2">
      <c r="A45" s="3" t="s">
        <v>123</v>
      </c>
      <c r="B45" s="3" t="s">
        <v>4</v>
      </c>
      <c r="C45" s="3" t="s">
        <v>257</v>
      </c>
      <c r="D45" s="3" t="s">
        <v>236</v>
      </c>
      <c r="E45" s="3" t="s">
        <v>193</v>
      </c>
      <c r="F45" s="3" t="s">
        <v>258</v>
      </c>
      <c r="G45" s="3" t="s">
        <v>124</v>
      </c>
      <c r="H45" s="21"/>
      <c r="I45" s="3" t="str">
        <f>VLOOKUP(G45,미제공항목!$B$3:$B$43,1,FALSE)</f>
        <v>AACOM-NATLTY-NATNL-CD</v>
      </c>
      <c r="J45" s="3"/>
    </row>
    <row r="46" spans="1:10" hidden="1" x14ac:dyDescent="0.2">
      <c r="A46" s="3" t="s">
        <v>126</v>
      </c>
      <c r="B46" s="3" t="s">
        <v>4</v>
      </c>
      <c r="C46" s="3" t="s">
        <v>259</v>
      </c>
      <c r="D46" s="3" t="s">
        <v>236</v>
      </c>
      <c r="E46" s="3" t="s">
        <v>193</v>
      </c>
      <c r="F46" s="3" t="s">
        <v>258</v>
      </c>
      <c r="G46" s="3" t="s">
        <v>127</v>
      </c>
      <c r="H46" s="21"/>
      <c r="I46" s="3" t="str">
        <f>VLOOKUP(G46,미제공항목!$B$3:$B$43,1,FALSE)</f>
        <v>AACOM-RESI-LOC-NATNL-CD</v>
      </c>
      <c r="J46" s="3"/>
    </row>
    <row r="47" spans="1:10" hidden="1" x14ac:dyDescent="0.2">
      <c r="A47" s="3" t="s">
        <v>129</v>
      </c>
      <c r="B47" s="3" t="s">
        <v>4</v>
      </c>
      <c r="C47" s="3" t="s">
        <v>260</v>
      </c>
      <c r="D47" s="3" t="s">
        <v>209</v>
      </c>
      <c r="E47" s="3" t="s">
        <v>193</v>
      </c>
      <c r="F47" s="3" t="s">
        <v>261</v>
      </c>
      <c r="G47" s="3" t="s">
        <v>130</v>
      </c>
      <c r="H47" s="21"/>
      <c r="I47" s="3" t="str">
        <f>VLOOKUP(G47,미제공항목!$B$3:$B$43,1,FALSE)</f>
        <v>AACOM-MAKTNG-PC-DSTCD</v>
      </c>
      <c r="J47" s="3"/>
    </row>
    <row r="48" spans="1:10" hidden="1" x14ac:dyDescent="0.2">
      <c r="A48" s="3" t="s">
        <v>134</v>
      </c>
      <c r="B48" s="3" t="s">
        <v>4</v>
      </c>
      <c r="C48" s="3" t="s">
        <v>262</v>
      </c>
      <c r="D48" s="3" t="s">
        <v>205</v>
      </c>
      <c r="E48" s="3" t="s">
        <v>193</v>
      </c>
      <c r="F48" s="3" t="s">
        <v>206</v>
      </c>
      <c r="G48" s="3" t="s">
        <v>135</v>
      </c>
      <c r="H48" s="21"/>
      <c r="I48" s="3" t="str">
        <f>VLOOKUP(G48,미제공항목!$B$3:$B$43,1,FALSE)</f>
        <v>AACOM-CARD-CUSTNM</v>
      </c>
      <c r="J48" s="3"/>
    </row>
    <row r="49" spans="1:10" x14ac:dyDescent="0.2">
      <c r="A49" s="3" t="s">
        <v>137</v>
      </c>
      <c r="B49" s="3" t="s">
        <v>4</v>
      </c>
      <c r="C49" s="3" t="s">
        <v>263</v>
      </c>
      <c r="D49" s="3" t="s">
        <v>209</v>
      </c>
      <c r="E49" s="3" t="s">
        <v>193</v>
      </c>
      <c r="F49" s="3" t="s">
        <v>209</v>
      </c>
      <c r="G49" s="3" t="s">
        <v>138</v>
      </c>
      <c r="H49" s="21" t="s">
        <v>274</v>
      </c>
      <c r="I49" s="3" t="str">
        <f>VLOOKUP(G49,미제공항목!$B$3:$B$43,1,FALSE)</f>
        <v>AACOM-CARD-U-ABIL-DSTCD</v>
      </c>
      <c r="J49" s="3" t="s">
        <v>288</v>
      </c>
    </row>
    <row r="50" spans="1:10" hidden="1" x14ac:dyDescent="0.2">
      <c r="A50" s="3" t="s">
        <v>140</v>
      </c>
      <c r="B50" s="3" t="s">
        <v>4</v>
      </c>
      <c r="C50" s="3" t="s">
        <v>264</v>
      </c>
      <c r="D50" s="3" t="s">
        <v>192</v>
      </c>
      <c r="E50" s="3" t="s">
        <v>193</v>
      </c>
      <c r="F50" s="3" t="s">
        <v>237</v>
      </c>
      <c r="G50" s="3" t="s">
        <v>141</v>
      </c>
      <c r="H50" s="21"/>
      <c r="I50" s="3" t="e">
        <f>VLOOKUP(G50,미제공항목!$B$3:$B$43,1,FALSE)</f>
        <v>#N/A</v>
      </c>
      <c r="J50" s="3"/>
    </row>
    <row r="51" spans="1:10" hidden="1" x14ac:dyDescent="0.2">
      <c r="A51" s="12" t="s">
        <v>144</v>
      </c>
      <c r="B51" s="3" t="s">
        <v>4</v>
      </c>
      <c r="C51" s="3" t="s">
        <v>265</v>
      </c>
      <c r="D51" s="3" t="s">
        <v>209</v>
      </c>
      <c r="E51" s="3" t="s">
        <v>193</v>
      </c>
      <c r="F51" s="3" t="s">
        <v>193</v>
      </c>
      <c r="G51" s="3" t="s">
        <v>145</v>
      </c>
      <c r="H51" s="21"/>
      <c r="I51" s="3" t="e">
        <f>VLOOKUP(G51,미제공항목!$B$3:$B$43,1,FALSE)</f>
        <v>#N/A</v>
      </c>
      <c r="J51" s="3"/>
    </row>
    <row r="52" spans="1:10" hidden="1" x14ac:dyDescent="0.2">
      <c r="A52" s="12" t="s">
        <v>148</v>
      </c>
      <c r="B52" s="3" t="s">
        <v>4</v>
      </c>
      <c r="C52" s="3" t="s">
        <v>266</v>
      </c>
      <c r="D52" s="3" t="s">
        <v>209</v>
      </c>
      <c r="E52" s="3" t="s">
        <v>193</v>
      </c>
      <c r="F52" s="3" t="s">
        <v>193</v>
      </c>
      <c r="G52" s="3" t="s">
        <v>149</v>
      </c>
      <c r="H52" s="21"/>
      <c r="I52" s="3" t="e">
        <f>VLOOKUP(G52,미제공항목!$B$3:$B$43,1,FALSE)</f>
        <v>#N/A</v>
      </c>
      <c r="J52" s="3"/>
    </row>
    <row r="53" spans="1:10" hidden="1" x14ac:dyDescent="0.2">
      <c r="A53" s="3" t="s">
        <v>150</v>
      </c>
      <c r="B53" s="3" t="s">
        <v>4</v>
      </c>
      <c r="C53" s="3" t="s">
        <v>267</v>
      </c>
      <c r="D53" s="3" t="s">
        <v>209</v>
      </c>
      <c r="E53" s="3" t="s">
        <v>193</v>
      </c>
      <c r="F53" s="3" t="s">
        <v>237</v>
      </c>
      <c r="G53" s="3" t="s">
        <v>151</v>
      </c>
      <c r="H53" s="21"/>
      <c r="I53" s="3" t="str">
        <f>VLOOKUP(G53,미제공항목!$B$3:$B$43,1,FALSE)</f>
        <v>AACOM-END-I-ATH-GRNT-YN</v>
      </c>
      <c r="J53" s="3"/>
    </row>
    <row r="54" spans="1:10" hidden="1" x14ac:dyDescent="0.2">
      <c r="A54" s="12" t="s">
        <v>153</v>
      </c>
      <c r="B54" s="3" t="s">
        <v>4</v>
      </c>
      <c r="C54" s="3" t="s">
        <v>268</v>
      </c>
      <c r="D54" s="3" t="s">
        <v>209</v>
      </c>
      <c r="E54" s="3" t="s">
        <v>193</v>
      </c>
      <c r="F54" s="3" t="s">
        <v>193</v>
      </c>
      <c r="G54" s="3" t="s">
        <v>154</v>
      </c>
      <c r="H54" s="21"/>
      <c r="I54" s="3" t="e">
        <f>VLOOKUP(G54,미제공항목!$B$3:$B$43,1,FALSE)</f>
        <v>#N/A</v>
      </c>
      <c r="J54" s="3"/>
    </row>
    <row r="55" spans="1:10" hidden="1" x14ac:dyDescent="0.2">
      <c r="A55" s="3" t="s">
        <v>155</v>
      </c>
      <c r="B55" s="3" t="s">
        <v>4</v>
      </c>
      <c r="C55" s="3" t="s">
        <v>269</v>
      </c>
      <c r="D55" s="3" t="s">
        <v>209</v>
      </c>
      <c r="E55" s="3" t="s">
        <v>193</v>
      </c>
      <c r="F55" s="3" t="s">
        <v>237</v>
      </c>
      <c r="G55" s="3" t="s">
        <v>156</v>
      </c>
      <c r="H55" s="21"/>
      <c r="I55" s="3" t="str">
        <f>VLOOKUP(G55,미제공항목!$B$3:$B$43,1,FALSE)</f>
        <v>AACOM-END-INQURY-ERR-YN</v>
      </c>
      <c r="J55" s="3"/>
    </row>
    <row r="56" spans="1:10" hidden="1" x14ac:dyDescent="0.2">
      <c r="A56" s="3" t="s">
        <v>158</v>
      </c>
      <c r="B56" s="3" t="s">
        <v>4</v>
      </c>
      <c r="C56" s="3" t="s">
        <v>270</v>
      </c>
      <c r="D56" s="3" t="s">
        <v>209</v>
      </c>
      <c r="E56" s="3" t="s">
        <v>193</v>
      </c>
      <c r="F56" s="3" t="s">
        <v>193</v>
      </c>
      <c r="G56" s="3" t="s">
        <v>159</v>
      </c>
      <c r="H56" s="21"/>
      <c r="I56" s="3" t="str">
        <f>VLOOKUP(G56,미제공항목!$B$3:$B$43,1,FALSE)</f>
        <v>AACOM-ALMI-TAGET-DSTCD</v>
      </c>
      <c r="J56" s="3"/>
    </row>
    <row r="57" spans="1:10" x14ac:dyDescent="0.2">
      <c r="A57" s="3" t="s">
        <v>160</v>
      </c>
      <c r="B57" s="3" t="s">
        <v>4</v>
      </c>
      <c r="C57" s="3" t="s">
        <v>271</v>
      </c>
      <c r="D57" s="3" t="s">
        <v>192</v>
      </c>
      <c r="E57" s="3" t="s">
        <v>193</v>
      </c>
      <c r="F57" s="3" t="s">
        <v>237</v>
      </c>
      <c r="G57" s="3" t="s">
        <v>161</v>
      </c>
      <c r="H57" s="21" t="s">
        <v>274</v>
      </c>
      <c r="I57" s="3" t="e">
        <f>VLOOKUP(G57,미제공항목!$B$3:$B$43,1,FALSE)</f>
        <v>#N/A</v>
      </c>
      <c r="J57" s="3" t="s">
        <v>289</v>
      </c>
    </row>
    <row r="58" spans="1:10" hidden="1" x14ac:dyDescent="0.2">
      <c r="A58" s="3" t="s">
        <v>164</v>
      </c>
      <c r="B58" s="3" t="s">
        <v>4</v>
      </c>
      <c r="C58" s="3" t="s">
        <v>272</v>
      </c>
      <c r="D58" s="3" t="s">
        <v>273</v>
      </c>
      <c r="E58" s="3" t="s">
        <v>193</v>
      </c>
      <c r="F58" s="3" t="s">
        <v>237</v>
      </c>
      <c r="G58" s="3" t="s">
        <v>165</v>
      </c>
      <c r="H58" s="21"/>
      <c r="I58" s="3" t="str">
        <f>VLOOKUP(G58,미제공항목!$B$3:$B$43,1,FALSE)</f>
        <v>AACOM-SPARE</v>
      </c>
    </row>
    <row r="1048548" spans="10:10" x14ac:dyDescent="0.2">
      <c r="J1048548" s="3"/>
    </row>
    <row r="1048549" spans="10:10" x14ac:dyDescent="0.2">
      <c r="J1048549" s="3"/>
    </row>
    <row r="1048550" spans="10:10" x14ac:dyDescent="0.2">
      <c r="J1048550" s="3"/>
    </row>
    <row r="1048551" spans="10:10" x14ac:dyDescent="0.2">
      <c r="J1048551" s="3"/>
    </row>
    <row r="1048552" spans="10:10" x14ac:dyDescent="0.2">
      <c r="J1048552" s="3"/>
    </row>
    <row r="1048553" spans="10:10" x14ac:dyDescent="0.2">
      <c r="J1048553" s="3"/>
    </row>
    <row r="1048554" spans="10:10" x14ac:dyDescent="0.2">
      <c r="J1048554" s="3"/>
    </row>
    <row r="1048555" spans="10:10" x14ac:dyDescent="0.2">
      <c r="J1048555" s="3"/>
    </row>
    <row r="1048556" spans="10:10" x14ac:dyDescent="0.2">
      <c r="J1048556" s="3"/>
    </row>
    <row r="1048557" spans="10:10" x14ac:dyDescent="0.2">
      <c r="J1048557" s="3"/>
    </row>
    <row r="1048558" spans="10:10" x14ac:dyDescent="0.2">
      <c r="J1048558" s="3"/>
    </row>
    <row r="1048559" spans="10:10" x14ac:dyDescent="0.2">
      <c r="J1048559" s="3"/>
    </row>
    <row r="1048560" spans="10:10" x14ac:dyDescent="0.2">
      <c r="J1048560" s="3"/>
    </row>
    <row r="1048561" spans="10:10" x14ac:dyDescent="0.2">
      <c r="J1048561" s="3"/>
    </row>
    <row r="1048562" spans="10:10" x14ac:dyDescent="0.2">
      <c r="J1048562" s="3"/>
    </row>
    <row r="1048563" spans="10:10" x14ac:dyDescent="0.2">
      <c r="J1048563" s="3"/>
    </row>
    <row r="1048564" spans="10:10" x14ac:dyDescent="0.2">
      <c r="J1048564" s="3"/>
    </row>
    <row r="1048565" spans="10:10" x14ac:dyDescent="0.2">
      <c r="J1048565" s="3"/>
    </row>
    <row r="1048566" spans="10:10" x14ac:dyDescent="0.2">
      <c r="J1048566" s="3"/>
    </row>
    <row r="1048567" spans="10:10" x14ac:dyDescent="0.2">
      <c r="J1048567" s="3"/>
    </row>
    <row r="1048568" spans="10:10" x14ac:dyDescent="0.2">
      <c r="J1048568" s="3"/>
    </row>
    <row r="1048569" spans="10:10" x14ac:dyDescent="0.2">
      <c r="J1048569" s="3"/>
    </row>
    <row r="1048570" spans="10:10" x14ac:dyDescent="0.2">
      <c r="J1048570" s="3"/>
    </row>
    <row r="1048571" spans="10:10" x14ac:dyDescent="0.2">
      <c r="J1048571" s="3"/>
    </row>
    <row r="1048572" spans="10:10" x14ac:dyDescent="0.2">
      <c r="J1048572" s="3"/>
    </row>
    <row r="1048573" spans="10:10" x14ac:dyDescent="0.2">
      <c r="J1048573" s="3"/>
    </row>
    <row r="1048574" spans="10:10" x14ac:dyDescent="0.2">
      <c r="J1048574" s="3"/>
    </row>
  </sheetData>
  <autoFilter ref="A1:I58" xr:uid="{07F27FC7-60D8-4052-8377-3EF12D2E7154}">
    <filterColumn colId="7">
      <customFilters>
        <customFilter operator="notEqual" val=" "/>
      </customFilters>
    </filterColumn>
  </autoFilter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"/>
  <sheetViews>
    <sheetView workbookViewId="0">
      <selection activeCell="A40" sqref="A40:B40"/>
    </sheetView>
  </sheetViews>
  <sheetFormatPr defaultRowHeight="14.25" x14ac:dyDescent="0.2"/>
  <cols>
    <col min="1" max="1" width="18.875" bestFit="1" customWidth="1"/>
    <col min="2" max="2" width="27.625" bestFit="1" customWidth="1"/>
    <col min="3" max="3" width="44.125" style="2" customWidth="1"/>
    <col min="4" max="4" width="29.375" bestFit="1"/>
    <col min="9" max="9" width="51.125" style="1" customWidth="1"/>
  </cols>
  <sheetData>
    <row r="1" spans="1:9" x14ac:dyDescent="0.2">
      <c r="A1" s="3" t="s">
        <v>0</v>
      </c>
      <c r="B1" s="3" t="s">
        <v>1</v>
      </c>
      <c r="C1" s="4" t="s">
        <v>2</v>
      </c>
      <c r="D1" s="2"/>
      <c r="I1" s="1" t="s">
        <v>166</v>
      </c>
    </row>
    <row r="2" spans="1:9" x14ac:dyDescent="0.2">
      <c r="A2" s="12" t="s">
        <v>3</v>
      </c>
      <c r="B2" s="5" t="s">
        <v>5</v>
      </c>
      <c r="C2" s="2" t="s">
        <v>7</v>
      </c>
      <c r="D2" s="2" t="s">
        <v>8</v>
      </c>
      <c r="I2" s="6" t="s">
        <v>6</v>
      </c>
    </row>
    <row r="3" spans="1:9" x14ac:dyDescent="0.2">
      <c r="A3" s="12" t="s">
        <v>9</v>
      </c>
      <c r="B3" s="5" t="s">
        <v>10</v>
      </c>
      <c r="C3" s="2" t="s">
        <v>7</v>
      </c>
      <c r="D3" s="2" t="s">
        <v>8</v>
      </c>
      <c r="I3" s="6" t="s">
        <v>11</v>
      </c>
    </row>
    <row r="4" spans="1:9" x14ac:dyDescent="0.2">
      <c r="A4" s="12" t="s">
        <v>12</v>
      </c>
      <c r="B4" s="7" t="s">
        <v>13</v>
      </c>
      <c r="C4" s="2" t="s">
        <v>7</v>
      </c>
      <c r="D4" s="2" t="s">
        <v>8</v>
      </c>
      <c r="I4" s="8" t="s">
        <v>14</v>
      </c>
    </row>
    <row r="5" spans="1:9" x14ac:dyDescent="0.2">
      <c r="A5" s="12" t="s">
        <v>15</v>
      </c>
      <c r="B5" s="3" t="s">
        <v>16</v>
      </c>
      <c r="C5" s="2" t="s">
        <v>7</v>
      </c>
      <c r="D5" s="2" t="s">
        <v>8</v>
      </c>
      <c r="I5" s="1" t="s">
        <v>17</v>
      </c>
    </row>
    <row r="6" spans="1:9" x14ac:dyDescent="0.2">
      <c r="A6" s="12" t="s">
        <v>18</v>
      </c>
      <c r="B6" s="7" t="s">
        <v>19</v>
      </c>
      <c r="C6" s="2" t="s">
        <v>7</v>
      </c>
      <c r="D6" s="2" t="s">
        <v>8</v>
      </c>
      <c r="I6" s="1" t="s">
        <v>20</v>
      </c>
    </row>
    <row r="7" spans="1:9" x14ac:dyDescent="0.2">
      <c r="A7" s="12" t="s">
        <v>21</v>
      </c>
      <c r="B7" s="7" t="s">
        <v>22</v>
      </c>
      <c r="C7" s="2" t="s">
        <v>7</v>
      </c>
      <c r="D7" s="2" t="s">
        <v>8</v>
      </c>
      <c r="I7" s="1" t="s">
        <v>23</v>
      </c>
    </row>
    <row r="8" spans="1:9" ht="24" x14ac:dyDescent="0.2">
      <c r="A8" s="12" t="s">
        <v>24</v>
      </c>
      <c r="B8" s="3" t="s">
        <v>25</v>
      </c>
      <c r="C8" s="2" t="s">
        <v>7</v>
      </c>
      <c r="D8" s="2" t="s">
        <v>8</v>
      </c>
      <c r="I8" s="8" t="s">
        <v>26</v>
      </c>
    </row>
    <row r="9" spans="1:9" x14ac:dyDescent="0.2">
      <c r="A9" s="12" t="s">
        <v>27</v>
      </c>
      <c r="B9" s="3" t="s">
        <v>28</v>
      </c>
      <c r="C9" s="2" t="s">
        <v>7</v>
      </c>
      <c r="D9" s="2" t="s">
        <v>8</v>
      </c>
      <c r="I9" s="1" t="s">
        <v>29</v>
      </c>
    </row>
    <row r="10" spans="1:9" ht="24" customHeight="1" x14ac:dyDescent="0.2">
      <c r="A10" s="3" t="s">
        <v>30</v>
      </c>
      <c r="B10" s="3" t="s">
        <v>31</v>
      </c>
      <c r="C10" s="9" t="s">
        <v>33</v>
      </c>
      <c r="D10" s="2" t="s">
        <v>34</v>
      </c>
      <c r="I10" s="1" t="s">
        <v>32</v>
      </c>
    </row>
    <row r="11" spans="1:9" x14ac:dyDescent="0.2">
      <c r="A11" s="12" t="s">
        <v>35</v>
      </c>
      <c r="B11" s="3" t="s">
        <v>36</v>
      </c>
      <c r="C11" s="2" t="s">
        <v>7</v>
      </c>
      <c r="D11" s="2" t="s">
        <v>8</v>
      </c>
      <c r="I11" s="1" t="s">
        <v>37</v>
      </c>
    </row>
    <row r="12" spans="1:9" ht="24" customHeight="1" x14ac:dyDescent="0.2">
      <c r="A12" s="3" t="s">
        <v>38</v>
      </c>
      <c r="B12" s="3" t="s">
        <v>39</v>
      </c>
      <c r="C12" s="9" t="s">
        <v>33</v>
      </c>
      <c r="D12" s="2" t="s">
        <v>34</v>
      </c>
      <c r="E12" s="2"/>
      <c r="F12" s="2"/>
      <c r="I12" s="1" t="s">
        <v>40</v>
      </c>
    </row>
    <row r="13" spans="1:9" ht="24" customHeight="1" x14ac:dyDescent="0.2">
      <c r="A13" s="3" t="s">
        <v>41</v>
      </c>
      <c r="B13" s="3" t="s">
        <v>42</v>
      </c>
      <c r="C13" s="9" t="s">
        <v>33</v>
      </c>
      <c r="D13" s="2" t="s">
        <v>34</v>
      </c>
      <c r="E13" s="2"/>
      <c r="F13" s="2"/>
      <c r="I13" s="1" t="s">
        <v>43</v>
      </c>
    </row>
    <row r="14" spans="1:9" ht="24" customHeight="1" x14ac:dyDescent="0.2">
      <c r="A14" s="3" t="s">
        <v>44</v>
      </c>
      <c r="B14" s="3" t="s">
        <v>45</v>
      </c>
      <c r="C14" s="9" t="s">
        <v>33</v>
      </c>
      <c r="D14" s="10" t="s">
        <v>34</v>
      </c>
      <c r="E14" s="2"/>
      <c r="F14" s="2"/>
      <c r="I14" s="1" t="s">
        <v>46</v>
      </c>
    </row>
    <row r="15" spans="1:9" x14ac:dyDescent="0.2">
      <c r="A15" s="12" t="s">
        <v>47</v>
      </c>
      <c r="B15" s="3" t="s">
        <v>48</v>
      </c>
      <c r="C15" s="2" t="s">
        <v>7</v>
      </c>
      <c r="D15" s="2" t="s">
        <v>8</v>
      </c>
      <c r="E15" s="2"/>
      <c r="F15" s="2"/>
      <c r="I15" s="1" t="s">
        <v>49</v>
      </c>
    </row>
    <row r="16" spans="1:9" ht="14.25" customHeight="1" x14ac:dyDescent="0.2">
      <c r="A16" s="3" t="s">
        <v>50</v>
      </c>
      <c r="B16" s="3" t="s">
        <v>51</v>
      </c>
      <c r="C16" s="2" t="s">
        <v>53</v>
      </c>
      <c r="D16" s="2"/>
      <c r="E16" s="2"/>
      <c r="F16" s="2"/>
      <c r="I16" s="1" t="s">
        <v>52</v>
      </c>
    </row>
    <row r="17" spans="1:9" ht="24" customHeight="1" x14ac:dyDescent="0.2">
      <c r="A17" s="3" t="s">
        <v>54</v>
      </c>
      <c r="B17" s="3" t="s">
        <v>55</v>
      </c>
      <c r="C17" s="9" t="s">
        <v>33</v>
      </c>
      <c r="D17" s="10" t="s">
        <v>34</v>
      </c>
      <c r="E17" s="2"/>
      <c r="F17" s="2"/>
      <c r="I17" s="1" t="s">
        <v>56</v>
      </c>
    </row>
    <row r="18" spans="1:9" ht="24" customHeight="1" x14ac:dyDescent="0.2">
      <c r="A18" s="3" t="s">
        <v>57</v>
      </c>
      <c r="B18" s="3" t="s">
        <v>58</v>
      </c>
      <c r="C18" s="9" t="s">
        <v>33</v>
      </c>
      <c r="D18" s="10" t="s">
        <v>34</v>
      </c>
      <c r="E18" s="2"/>
      <c r="F18" s="2"/>
      <c r="I18" s="1" t="s">
        <v>59</v>
      </c>
    </row>
    <row r="19" spans="1:9" x14ac:dyDescent="0.2">
      <c r="A19" s="12" t="s">
        <v>60</v>
      </c>
      <c r="B19" s="3" t="s">
        <v>61</v>
      </c>
      <c r="C19" s="2" t="s">
        <v>7</v>
      </c>
      <c r="D19" s="2" t="s">
        <v>8</v>
      </c>
      <c r="E19" s="2"/>
      <c r="F19" s="2"/>
      <c r="I19" s="1" t="s">
        <v>62</v>
      </c>
    </row>
    <row r="20" spans="1:9" ht="24" customHeight="1" x14ac:dyDescent="0.2">
      <c r="A20" s="3" t="s">
        <v>63</v>
      </c>
      <c r="B20" s="3" t="s">
        <v>64</v>
      </c>
      <c r="C20" s="9" t="s">
        <v>33</v>
      </c>
      <c r="D20" s="10" t="s">
        <v>34</v>
      </c>
      <c r="E20" s="2" t="s">
        <v>65</v>
      </c>
      <c r="F20" s="2"/>
      <c r="I20" s="1" t="s">
        <v>14</v>
      </c>
    </row>
    <row r="21" spans="1:9" ht="24" customHeight="1" x14ac:dyDescent="0.2">
      <c r="A21" s="3" t="s">
        <v>66</v>
      </c>
      <c r="B21" s="3" t="s">
        <v>67</v>
      </c>
      <c r="C21" s="9" t="s">
        <v>33</v>
      </c>
      <c r="D21" s="10" t="s">
        <v>34</v>
      </c>
      <c r="E21" s="2" t="s">
        <v>65</v>
      </c>
      <c r="F21" s="2"/>
      <c r="I21" s="1" t="s">
        <v>14</v>
      </c>
    </row>
    <row r="22" spans="1:9" ht="14.25" customHeight="1" x14ac:dyDescent="0.2">
      <c r="A22" s="3" t="s">
        <v>68</v>
      </c>
      <c r="B22" s="3" t="s">
        <v>69</v>
      </c>
      <c r="C22" s="2" t="s">
        <v>53</v>
      </c>
      <c r="D22" s="2"/>
      <c r="I22" s="1" t="s">
        <v>70</v>
      </c>
    </row>
    <row r="23" spans="1:9" ht="14.25" customHeight="1" x14ac:dyDescent="0.2">
      <c r="A23" s="3" t="s">
        <v>71</v>
      </c>
      <c r="B23" s="3" t="s">
        <v>72</v>
      </c>
      <c r="C23" s="10" t="s">
        <v>53</v>
      </c>
      <c r="D23" s="2"/>
      <c r="I23" s="1" t="s">
        <v>73</v>
      </c>
    </row>
    <row r="24" spans="1:9" ht="14.25" customHeight="1" x14ac:dyDescent="0.2">
      <c r="A24" s="3" t="s">
        <v>74</v>
      </c>
      <c r="B24" s="3" t="s">
        <v>75</v>
      </c>
      <c r="D24" s="2"/>
      <c r="I24" s="6" t="s">
        <v>76</v>
      </c>
    </row>
    <row r="25" spans="1:9" ht="14.25" customHeight="1" x14ac:dyDescent="0.2">
      <c r="A25" s="3" t="s">
        <v>77</v>
      </c>
      <c r="B25" s="3" t="s">
        <v>78</v>
      </c>
      <c r="D25" s="2"/>
      <c r="I25" s="1" t="s">
        <v>4</v>
      </c>
    </row>
    <row r="26" spans="1:9" ht="14.25" customHeight="1" x14ac:dyDescent="0.2">
      <c r="A26" s="3" t="s">
        <v>79</v>
      </c>
      <c r="B26" s="3" t="s">
        <v>80</v>
      </c>
      <c r="D26" s="2"/>
      <c r="I26" s="1" t="s">
        <v>4</v>
      </c>
    </row>
    <row r="27" spans="1:9" ht="14.25" customHeight="1" x14ac:dyDescent="0.2">
      <c r="A27" s="3" t="s">
        <v>81</v>
      </c>
      <c r="B27" s="3" t="s">
        <v>82</v>
      </c>
      <c r="D27" s="2"/>
      <c r="I27" s="1" t="s">
        <v>4</v>
      </c>
    </row>
    <row r="28" spans="1:9" ht="14.25" customHeight="1" x14ac:dyDescent="0.2">
      <c r="A28" s="3" t="s">
        <v>83</v>
      </c>
      <c r="B28" s="3" t="s">
        <v>84</v>
      </c>
      <c r="D28" s="2"/>
      <c r="I28" s="1" t="s">
        <v>4</v>
      </c>
    </row>
    <row r="29" spans="1:9" ht="14.25" customHeight="1" x14ac:dyDescent="0.2">
      <c r="A29" s="3" t="s">
        <v>85</v>
      </c>
      <c r="B29" s="3" t="s">
        <v>86</v>
      </c>
      <c r="D29" s="2"/>
      <c r="I29" s="1" t="s">
        <v>4</v>
      </c>
    </row>
    <row r="30" spans="1:9" ht="14.25" customHeight="1" x14ac:dyDescent="0.2">
      <c r="A30" s="3" t="s">
        <v>87</v>
      </c>
      <c r="B30" s="3" t="s">
        <v>88</v>
      </c>
      <c r="D30" s="2"/>
      <c r="I30" s="1" t="s">
        <v>4</v>
      </c>
    </row>
    <row r="31" spans="1:9" ht="14.25" customHeight="1" x14ac:dyDescent="0.2">
      <c r="A31" s="3" t="s">
        <v>89</v>
      </c>
      <c r="B31" s="3" t="s">
        <v>90</v>
      </c>
      <c r="D31" s="2"/>
      <c r="I31" s="1" t="s">
        <v>4</v>
      </c>
    </row>
    <row r="32" spans="1:9" ht="14.25" customHeight="1" x14ac:dyDescent="0.2">
      <c r="A32" s="3" t="s">
        <v>91</v>
      </c>
      <c r="B32" s="3" t="s">
        <v>92</v>
      </c>
      <c r="D32" s="2"/>
      <c r="I32" s="1" t="s">
        <v>4</v>
      </c>
    </row>
    <row r="33" spans="1:9" ht="14.25" customHeight="1" x14ac:dyDescent="0.2">
      <c r="A33" s="3" t="s">
        <v>93</v>
      </c>
      <c r="B33" s="3" t="s">
        <v>94</v>
      </c>
      <c r="D33" s="2"/>
      <c r="I33" s="1" t="s">
        <v>4</v>
      </c>
    </row>
    <row r="34" spans="1:9" ht="14.25" customHeight="1" x14ac:dyDescent="0.2">
      <c r="A34" s="3" t="s">
        <v>95</v>
      </c>
      <c r="B34" s="3" t="s">
        <v>96</v>
      </c>
      <c r="D34" s="2"/>
      <c r="I34" s="1" t="s">
        <v>4</v>
      </c>
    </row>
    <row r="35" spans="1:9" ht="14.25" customHeight="1" x14ac:dyDescent="0.2">
      <c r="A35" s="3" t="s">
        <v>97</v>
      </c>
      <c r="B35" s="3" t="s">
        <v>98</v>
      </c>
      <c r="D35" s="2"/>
      <c r="I35" s="1" t="s">
        <v>4</v>
      </c>
    </row>
    <row r="36" spans="1:9" ht="14.25" customHeight="1" x14ac:dyDescent="0.2">
      <c r="A36" s="3" t="s">
        <v>99</v>
      </c>
      <c r="B36" s="3" t="s">
        <v>100</v>
      </c>
      <c r="D36" s="2"/>
      <c r="I36" s="1" t="s">
        <v>4</v>
      </c>
    </row>
    <row r="37" spans="1:9" ht="14.25" customHeight="1" x14ac:dyDescent="0.2">
      <c r="A37" s="3" t="s">
        <v>101</v>
      </c>
      <c r="B37" s="3" t="s">
        <v>102</v>
      </c>
      <c r="C37" s="10" t="s">
        <v>53</v>
      </c>
      <c r="D37" s="2"/>
      <c r="I37" s="1" t="s">
        <v>103</v>
      </c>
    </row>
    <row r="38" spans="1:9" ht="14.25" customHeight="1" x14ac:dyDescent="0.2">
      <c r="A38" s="3" t="s">
        <v>104</v>
      </c>
      <c r="B38" s="3" t="s">
        <v>105</v>
      </c>
      <c r="D38" s="2"/>
      <c r="I38" s="1" t="s">
        <v>4</v>
      </c>
    </row>
    <row r="39" spans="1:9" ht="24" customHeight="1" x14ac:dyDescent="0.2">
      <c r="A39" s="3" t="s">
        <v>106</v>
      </c>
      <c r="B39" s="3" t="s">
        <v>107</v>
      </c>
      <c r="C39" s="9" t="s">
        <v>33</v>
      </c>
      <c r="D39" s="11" t="s">
        <v>108</v>
      </c>
      <c r="E39" s="2" t="s">
        <v>65</v>
      </c>
      <c r="I39" s="1" t="s">
        <v>14</v>
      </c>
    </row>
    <row r="40" spans="1:9" ht="14.25" customHeight="1" x14ac:dyDescent="0.2">
      <c r="A40" s="3" t="s">
        <v>109</v>
      </c>
      <c r="B40" s="3" t="s">
        <v>110</v>
      </c>
      <c r="C40" s="10" t="s">
        <v>53</v>
      </c>
      <c r="D40" s="2"/>
      <c r="I40" s="1" t="s">
        <v>14</v>
      </c>
    </row>
    <row r="41" spans="1:9" ht="24" customHeight="1" x14ac:dyDescent="0.2">
      <c r="A41" s="3" t="s">
        <v>111</v>
      </c>
      <c r="B41" s="3" t="s">
        <v>112</v>
      </c>
      <c r="C41" s="9" t="s">
        <v>33</v>
      </c>
      <c r="D41" s="2" t="s">
        <v>34</v>
      </c>
      <c r="I41" s="1" t="s">
        <v>113</v>
      </c>
    </row>
    <row r="42" spans="1:9" ht="24" customHeight="1" x14ac:dyDescent="0.2">
      <c r="A42" s="3" t="s">
        <v>114</v>
      </c>
      <c r="B42" s="3" t="s">
        <v>115</v>
      </c>
      <c r="C42" s="9" t="s">
        <v>33</v>
      </c>
      <c r="D42" s="2" t="s">
        <v>34</v>
      </c>
      <c r="I42" s="1" t="s">
        <v>113</v>
      </c>
    </row>
    <row r="43" spans="1:9" ht="48" x14ac:dyDescent="0.2">
      <c r="A43" s="3" t="s">
        <v>116</v>
      </c>
      <c r="B43" s="3" t="s">
        <v>117</v>
      </c>
      <c r="C43" s="9" t="s">
        <v>118</v>
      </c>
      <c r="D43" s="10" t="s">
        <v>119</v>
      </c>
      <c r="I43" s="8" t="s">
        <v>26</v>
      </c>
    </row>
    <row r="44" spans="1:9" ht="24" customHeight="1" x14ac:dyDescent="0.2">
      <c r="A44" s="3" t="s">
        <v>120</v>
      </c>
      <c r="B44" s="3" t="s">
        <v>121</v>
      </c>
      <c r="C44" s="10" t="s">
        <v>53</v>
      </c>
      <c r="D44" s="2"/>
      <c r="I44" s="8" t="s">
        <v>122</v>
      </c>
    </row>
    <row r="45" spans="1:9" ht="36" customHeight="1" x14ac:dyDescent="0.2">
      <c r="A45" s="3" t="s">
        <v>123</v>
      </c>
      <c r="B45" s="3" t="s">
        <v>124</v>
      </c>
      <c r="C45" s="9" t="s">
        <v>125</v>
      </c>
      <c r="D45" s="10" t="s">
        <v>34</v>
      </c>
      <c r="I45" s="1" t="s">
        <v>14</v>
      </c>
    </row>
    <row r="46" spans="1:9" ht="36" customHeight="1" x14ac:dyDescent="0.2">
      <c r="A46" s="3" t="s">
        <v>126</v>
      </c>
      <c r="B46" s="3" t="s">
        <v>127</v>
      </c>
      <c r="C46" s="9" t="s">
        <v>128</v>
      </c>
      <c r="D46" s="10" t="s">
        <v>34</v>
      </c>
      <c r="I46" s="1" t="s">
        <v>14</v>
      </c>
    </row>
    <row r="47" spans="1:9" ht="24" customHeight="1" x14ac:dyDescent="0.2">
      <c r="A47" s="3" t="s">
        <v>129</v>
      </c>
      <c r="B47" s="3" t="s">
        <v>130</v>
      </c>
      <c r="C47" s="2" t="s">
        <v>132</v>
      </c>
      <c r="D47" s="2" t="s">
        <v>133</v>
      </c>
      <c r="I47" s="8" t="s">
        <v>131</v>
      </c>
    </row>
    <row r="48" spans="1:9" ht="24" customHeight="1" x14ac:dyDescent="0.2">
      <c r="A48" s="3" t="s">
        <v>134</v>
      </c>
      <c r="B48" s="3" t="s">
        <v>135</v>
      </c>
      <c r="C48" s="9" t="s">
        <v>33</v>
      </c>
      <c r="D48" s="2" t="s">
        <v>34</v>
      </c>
      <c r="I48" s="1" t="s">
        <v>136</v>
      </c>
    </row>
    <row r="49" spans="1:9" ht="14.25" customHeight="1" x14ac:dyDescent="0.2">
      <c r="A49" s="3" t="s">
        <v>137</v>
      </c>
      <c r="B49" s="3" t="s">
        <v>138</v>
      </c>
      <c r="C49" s="10" t="s">
        <v>53</v>
      </c>
      <c r="D49" s="2"/>
      <c r="I49" s="1" t="s">
        <v>139</v>
      </c>
    </row>
    <row r="50" spans="1:9" ht="60" x14ac:dyDescent="0.2">
      <c r="A50" s="3" t="s">
        <v>140</v>
      </c>
      <c r="B50" s="3" t="s">
        <v>141</v>
      </c>
      <c r="C50" s="2" t="s">
        <v>143</v>
      </c>
      <c r="D50" s="10" t="s">
        <v>8</v>
      </c>
      <c r="I50" s="8" t="s">
        <v>142</v>
      </c>
    </row>
    <row r="51" spans="1:9" x14ac:dyDescent="0.2">
      <c r="A51" s="12" t="s">
        <v>144</v>
      </c>
      <c r="B51" s="3" t="s">
        <v>145</v>
      </c>
      <c r="C51" s="2" t="s">
        <v>147</v>
      </c>
      <c r="D51" s="10" t="s">
        <v>8</v>
      </c>
      <c r="I51" s="1" t="s">
        <v>146</v>
      </c>
    </row>
    <row r="52" spans="1:9" x14ac:dyDescent="0.2">
      <c r="A52" s="12" t="s">
        <v>148</v>
      </c>
      <c r="B52" s="3" t="s">
        <v>149</v>
      </c>
      <c r="C52" s="2" t="s">
        <v>147</v>
      </c>
      <c r="D52" s="10" t="s">
        <v>8</v>
      </c>
      <c r="I52" s="1" t="s">
        <v>146</v>
      </c>
    </row>
    <row r="53" spans="1:9" ht="14.25" customHeight="1" x14ac:dyDescent="0.2">
      <c r="A53" s="3" t="s">
        <v>150</v>
      </c>
      <c r="B53" s="3" t="s">
        <v>151</v>
      </c>
      <c r="C53" s="10" t="s">
        <v>53</v>
      </c>
      <c r="D53" s="2"/>
      <c r="I53" s="1" t="s">
        <v>152</v>
      </c>
    </row>
    <row r="54" spans="1:9" x14ac:dyDescent="0.2">
      <c r="A54" s="12" t="s">
        <v>153</v>
      </c>
      <c r="B54" s="3" t="s">
        <v>154</v>
      </c>
      <c r="C54" s="10" t="s">
        <v>147</v>
      </c>
      <c r="D54" s="10" t="s">
        <v>8</v>
      </c>
      <c r="I54" s="1" t="s">
        <v>146</v>
      </c>
    </row>
    <row r="55" spans="1:9" ht="14.25" customHeight="1" x14ac:dyDescent="0.2">
      <c r="A55" s="3" t="s">
        <v>155</v>
      </c>
      <c r="B55" s="3" t="s">
        <v>156</v>
      </c>
      <c r="C55" s="10" t="s">
        <v>53</v>
      </c>
      <c r="D55" s="2"/>
      <c r="I55" s="1" t="s">
        <v>157</v>
      </c>
    </row>
    <row r="56" spans="1:9" ht="14.25" customHeight="1" x14ac:dyDescent="0.2">
      <c r="A56" s="3" t="s">
        <v>158</v>
      </c>
      <c r="B56" s="3" t="s">
        <v>159</v>
      </c>
      <c r="D56" s="2"/>
      <c r="I56" s="1" t="s">
        <v>4</v>
      </c>
    </row>
    <row r="57" spans="1:9" ht="14.25" customHeight="1" x14ac:dyDescent="0.2">
      <c r="A57" s="3" t="s">
        <v>160</v>
      </c>
      <c r="B57" s="3" t="s">
        <v>161</v>
      </c>
      <c r="C57" s="2" t="s">
        <v>162</v>
      </c>
      <c r="D57" s="2" t="s">
        <v>163</v>
      </c>
      <c r="I57" s="1" t="s">
        <v>14</v>
      </c>
    </row>
    <row r="58" spans="1:9" ht="14.25" customHeight="1" x14ac:dyDescent="0.2">
      <c r="A58" s="3" t="s">
        <v>164</v>
      </c>
      <c r="B58" s="3" t="s">
        <v>165</v>
      </c>
      <c r="D58" s="2"/>
      <c r="I58" s="1" t="s">
        <v>4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AACOMM</vt:lpstr>
      <vt:lpstr>미제공항목</vt:lpstr>
      <vt:lpstr>MF-AACOM</vt:lpstr>
      <vt:lpstr>고객정보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신예진 (SI)</cp:lastModifiedBy>
  <cp:revision>1</cp:revision>
  <dcterms:created xsi:type="dcterms:W3CDTF">2025-05-12T07:00:37Z</dcterms:created>
  <dcterms:modified xsi:type="dcterms:W3CDTF">2025-09-02T08:10:00Z</dcterms:modified>
</cp:coreProperties>
</file>